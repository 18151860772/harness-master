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线径计算" sheetId="2" r:id="rId1"/>
  </sheets>
  <externalReferences>
    <externalReference r:id="rId2"/>
    <externalReference r:id="rId3"/>
  </externalReferences>
  <definedNames>
    <definedName name="Circuits">#REF!</definedName>
    <definedName name="预留类型">[2]线束预留长度统计0722!#REF!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<sst xmlns="http://schemas.openxmlformats.org/spreadsheetml/2006/main" count="335" uniqueCount="118">
  <si>
    <t>Yellow fields to be updated</t>
  </si>
  <si>
    <t>Revision 5.0 (October 9th 2018)</t>
  </si>
  <si>
    <t>Quantity of circuits</t>
  </si>
  <si>
    <r>
      <rPr>
        <b/>
        <sz val="10"/>
        <color theme="0"/>
        <rFont val="Arial"/>
        <charset val="134"/>
      </rPr>
      <t>CSA (mm</t>
    </r>
    <r>
      <rPr>
        <b/>
        <vertAlign val="superscript"/>
        <sz val="10"/>
        <color indexed="9"/>
        <rFont val="Arial"/>
        <charset val="134"/>
      </rPr>
      <t>2</t>
    </r>
    <r>
      <rPr>
        <b/>
        <sz val="10"/>
        <color indexed="9"/>
        <rFont val="Arial"/>
        <charset val="134"/>
      </rPr>
      <t>)</t>
    </r>
  </si>
  <si>
    <t>Thickness Type</t>
  </si>
  <si>
    <t>Max Outer Diameter (mm)</t>
  </si>
  <si>
    <t>Sum of Wire Diameter</t>
  </si>
  <si>
    <t>Total CSA (mm²)</t>
  </si>
  <si>
    <t>Length (mm)</t>
  </si>
  <si>
    <t>Unit Weight (gms/m)</t>
  </si>
  <si>
    <t>Total Wire Weight
(gms)</t>
  </si>
  <si>
    <t>Ultra Thin Wall</t>
  </si>
  <si>
    <r>
      <rPr>
        <b/>
        <sz val="10"/>
        <rFont val="Arial"/>
        <charset val="134"/>
      </rPr>
      <t>Total outer-csa (mm</t>
    </r>
    <r>
      <rPr>
        <b/>
        <vertAlign val="superscript"/>
        <sz val="12"/>
        <rFont val="Arial"/>
        <charset val="134"/>
      </rPr>
      <t>2</t>
    </r>
    <r>
      <rPr>
        <b/>
        <sz val="12"/>
        <rFont val="Arial"/>
        <charset val="134"/>
      </rPr>
      <t>):</t>
    </r>
  </si>
  <si>
    <t>Thin Wall</t>
  </si>
  <si>
    <t>Diameter (mm):</t>
  </si>
  <si>
    <t xml:space="preserve"> </t>
  </si>
  <si>
    <t>Cross sectional growth (%):</t>
  </si>
  <si>
    <t>1,0 = 0% growth</t>
  </si>
  <si>
    <t>1,1 = 10% growth</t>
  </si>
  <si>
    <t>Diameter including growth (mm):</t>
  </si>
  <si>
    <t>1,2 = 20% growth</t>
  </si>
  <si>
    <t>Thick Wall</t>
  </si>
  <si>
    <t>Added Convolute</t>
  </si>
  <si>
    <t>No</t>
  </si>
  <si>
    <t>Final Bundle Diameter (mm):</t>
  </si>
  <si>
    <t>Bundle Weight</t>
  </si>
  <si>
    <t>Kg</t>
  </si>
  <si>
    <t>This tool takes into consideration, air gap between wires, future growth, 0.5mm for tape, or convolute with plant preference of 10% empty space</t>
  </si>
  <si>
    <t>CHFUS</t>
  </si>
  <si>
    <t>Types Described in JASO D611-09</t>
  </si>
  <si>
    <t xml:space="preserve"> CHFUS</t>
  </si>
  <si>
    <t xml:space="preserve"> CAVUS</t>
  </si>
  <si>
    <t>AVSS, CAVS, CAV</t>
  </si>
  <si>
    <t>CAVUS</t>
  </si>
  <si>
    <t>0.3, 0.3f</t>
  </si>
  <si>
    <t>AVSS, CAVS, CAV, AVSSH, AESSX</t>
  </si>
  <si>
    <t>AVS</t>
  </si>
  <si>
    <t>0.35, 0.35f</t>
  </si>
  <si>
    <t>HFSS, CHFS</t>
  </si>
  <si>
    <t>CAVUS, CHFUS</t>
  </si>
  <si>
    <t>0.5f</t>
  </si>
  <si>
    <t>AVSSX</t>
  </si>
  <si>
    <t>0.5, 0.5f</t>
  </si>
  <si>
    <t xml:space="preserve">AVSS, CAVS, CAV, HFSS, CHFS, AVSSH, AESSX </t>
  </si>
  <si>
    <t>AVX, AVFX, HEBX, AEX</t>
  </si>
  <si>
    <t>0.75f</t>
  </si>
  <si>
    <t>AVSSX,</t>
  </si>
  <si>
    <t>0.75, 0.75f</t>
  </si>
  <si>
    <t>1.0, 1.0f</t>
  </si>
  <si>
    <t>CAVUS, AVSSX</t>
  </si>
  <si>
    <t>1.25f</t>
  </si>
  <si>
    <t>1.25, 1.25f</t>
  </si>
  <si>
    <t>1.5, 1.5f</t>
  </si>
  <si>
    <t>2.0f</t>
  </si>
  <si>
    <t xml:space="preserve">AVSSX, </t>
  </si>
  <si>
    <t>2.0, 2.0f</t>
  </si>
  <si>
    <t>AVSS, CAVS, CAV, HFSS, CHFS</t>
  </si>
  <si>
    <t>AVX, AVFX, HEBX, AEX, AV, HEB, HDEB</t>
  </si>
  <si>
    <t>3.0. 3.0f</t>
  </si>
  <si>
    <t>AVS, AVSX, AVXS</t>
  </si>
  <si>
    <t>3.0, 3.0f</t>
  </si>
  <si>
    <t>EB</t>
  </si>
  <si>
    <t>5.0, 5.0f</t>
  </si>
  <si>
    <t>5.0f</t>
  </si>
  <si>
    <t>AV, HEB, HDEB</t>
  </si>
  <si>
    <t>8.0, 8.0f</t>
  </si>
  <si>
    <t>8.0f</t>
  </si>
  <si>
    <t>AVX, AVFX, HEBX</t>
  </si>
  <si>
    <t>10.0, 10.0f</t>
  </si>
  <si>
    <t>12.0f</t>
  </si>
  <si>
    <t>EB, EBX</t>
  </si>
  <si>
    <t>15.0f</t>
  </si>
  <si>
    <t>AVSX, AVXS</t>
  </si>
  <si>
    <t>AV, HEB, HDEB, AEX</t>
  </si>
  <si>
    <t>20.0f</t>
  </si>
  <si>
    <t>30.0f</t>
  </si>
  <si>
    <t>40.0f</t>
  </si>
  <si>
    <t>50.0f</t>
  </si>
  <si>
    <t>60.0f</t>
  </si>
  <si>
    <t>85.0f</t>
  </si>
  <si>
    <t>100.0f</t>
  </si>
  <si>
    <t>Drain</t>
  </si>
  <si>
    <t>Coaxial</t>
  </si>
  <si>
    <t>Cable</t>
  </si>
  <si>
    <t>USB</t>
  </si>
  <si>
    <t>USB3</t>
  </si>
  <si>
    <t>LVDS</t>
  </si>
  <si>
    <t>Fiber Optic</t>
  </si>
  <si>
    <t>Triple core screened Cable</t>
  </si>
  <si>
    <t>Twin core twisted screened Cable</t>
  </si>
  <si>
    <t>Twin core screened Cable</t>
  </si>
  <si>
    <t>APIX2 0.14</t>
  </si>
  <si>
    <t>Jacketed Cable</t>
  </si>
  <si>
    <t>Sub Assembly 1</t>
  </si>
  <si>
    <t>User Defined Diameter</t>
  </si>
  <si>
    <t>Sub Assembly 2</t>
  </si>
  <si>
    <t>Sub Assembly 3</t>
  </si>
  <si>
    <t>Sub Assembly 4</t>
  </si>
  <si>
    <t>Sub Assembly 5</t>
  </si>
  <si>
    <t>Sub Assembly 6</t>
  </si>
  <si>
    <t>Sub Assembly 7</t>
  </si>
  <si>
    <t>Sub Assembly 8</t>
  </si>
  <si>
    <t>Sub Assembly 9</t>
  </si>
  <si>
    <t>Sub Assembly 10</t>
  </si>
  <si>
    <t>Growth</t>
  </si>
  <si>
    <t>Original diameter (mm)</t>
  </si>
  <si>
    <t>Growth (%)</t>
  </si>
  <si>
    <t>New diameter (mm)</t>
  </si>
  <si>
    <t>Split of bundle</t>
  </si>
  <si>
    <t>New amount of bundles</t>
  </si>
  <si>
    <t>Combining bundles</t>
  </si>
  <si>
    <t>Diameter bundle 1 (mm)</t>
  </si>
  <si>
    <t>Diameter bundle 2 (mm)</t>
  </si>
  <si>
    <t>Formulas used for calcualtions</t>
  </si>
  <si>
    <t>Remark:</t>
  </si>
  <si>
    <t>This calculated bundle diameter does not consider any tape or tube!</t>
  </si>
  <si>
    <t>68% is a factor to calculate the air between the wires in a bundle</t>
  </si>
  <si>
    <t>csa = cross section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</si>
</sst>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"/>
  </numFmts>
  <fonts count="33">
    <font>
      <sz val="11"/>
      <color theme="1"/>
      <name val="等线"/>
      <charset val="134"/>
      <scheme val="minor"/>
    </font>
    <font>
      <sz val="10"/>
      <name val="Arial"/>
      <charset val="134"/>
    </font>
    <font>
      <b/>
      <sz val="11"/>
      <color indexed="10"/>
      <name val="Arial"/>
      <charset val="134"/>
    </font>
    <font>
      <b/>
      <sz val="20"/>
      <name val="Arial"/>
      <charset val="134"/>
    </font>
    <font>
      <b/>
      <sz val="10"/>
      <color theme="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sz val="10"/>
      <name val="Verdana"/>
      <charset val="134"/>
    </font>
    <font>
      <sz val="10"/>
      <color rgb="FFFF0000"/>
      <name val="Arial"/>
      <charset val="134"/>
    </font>
    <font>
      <b/>
      <sz val="12"/>
      <color theme="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10"/>
      <color indexed="9"/>
      <name val="Arial"/>
      <charset val="134"/>
    </font>
    <font>
      <b/>
      <sz val="10"/>
      <color indexed="9"/>
      <name val="Arial"/>
      <charset val="134"/>
    </font>
    <font>
      <b/>
      <vertAlign val="superscript"/>
      <sz val="12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21" fillId="10" borderId="16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67">
    <xf numFmtId="0" fontId="0" fillId="0" borderId="0" xfId="0"/>
    <xf numFmtId="0" fontId="1" fillId="0" borderId="0" xfId="50" applyAlignment="1">
      <alignment vertical="center"/>
    </xf>
    <xf numFmtId="0" fontId="1" fillId="0" borderId="0" xfId="50"/>
    <xf numFmtId="2" fontId="1" fillId="0" borderId="0" xfId="50" applyNumberFormat="1"/>
    <xf numFmtId="0" fontId="2" fillId="0" borderId="0" xfId="50" applyFont="1" applyAlignment="1">
      <alignment horizontal="left" vertical="center"/>
    </xf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4" fillId="2" borderId="4" xfId="50" applyFont="1" applyFill="1" applyBorder="1" applyAlignment="1">
      <alignment horizontal="center" vertical="center" wrapText="1"/>
    </xf>
    <xf numFmtId="0" fontId="4" fillId="2" borderId="4" xfId="50" applyFont="1" applyFill="1" applyBorder="1" applyAlignment="1">
      <alignment horizontal="center" vertical="center"/>
    </xf>
    <xf numFmtId="0" fontId="4" fillId="2" borderId="5" xfId="50" applyFont="1" applyFill="1" applyBorder="1" applyAlignment="1">
      <alignment horizontal="center" vertical="center"/>
    </xf>
    <xf numFmtId="2" fontId="4" fillId="2" borderId="5" xfId="50" applyNumberFormat="1" applyFont="1" applyFill="1" applyBorder="1" applyAlignment="1">
      <alignment horizontal="center" vertical="center" wrapText="1"/>
    </xf>
    <xf numFmtId="2" fontId="4" fillId="2" borderId="0" xfId="50" applyNumberFormat="1" applyFont="1" applyFill="1" applyAlignment="1">
      <alignment horizontal="center" vertical="center" wrapText="1"/>
    </xf>
    <xf numFmtId="0" fontId="5" fillId="0" borderId="0" xfId="50" applyFont="1" applyAlignment="1">
      <alignment vertical="center"/>
    </xf>
    <xf numFmtId="1" fontId="1" fillId="3" borderId="4" xfId="50" applyNumberFormat="1" applyFill="1" applyBorder="1" applyAlignment="1">
      <alignment horizontal="center"/>
    </xf>
    <xf numFmtId="0" fontId="1" fillId="0" borderId="4" xfId="50" applyBorder="1" applyAlignment="1">
      <alignment horizontal="center" vertical="center"/>
    </xf>
    <xf numFmtId="2" fontId="1" fillId="0" borderId="4" xfId="49" applyNumberFormat="1" applyBorder="1" applyAlignment="1">
      <alignment horizontal="center"/>
    </xf>
    <xf numFmtId="2" fontId="1" fillId="0" borderId="4" xfId="50" applyNumberFormat="1" applyBorder="1" applyAlignment="1">
      <alignment horizontal="center" vertical="center" wrapText="1"/>
    </xf>
    <xf numFmtId="2" fontId="1" fillId="3" borderId="4" xfId="50" applyNumberFormat="1" applyFill="1" applyBorder="1" applyAlignment="1">
      <alignment horizontal="center" vertical="center" wrapText="1"/>
    </xf>
    <xf numFmtId="2" fontId="1" fillId="3" borderId="6" xfId="50" applyNumberFormat="1" applyFill="1" applyBorder="1" applyAlignment="1">
      <alignment horizontal="center" vertical="center" wrapText="1"/>
    </xf>
    <xf numFmtId="0" fontId="6" fillId="4" borderId="6" xfId="50" applyFont="1" applyFill="1" applyBorder="1" applyAlignment="1">
      <alignment vertical="center"/>
    </xf>
    <xf numFmtId="2" fontId="1" fillId="0" borderId="4" xfId="50" applyNumberFormat="1" applyBorder="1" applyAlignment="1">
      <alignment horizontal="center"/>
    </xf>
    <xf numFmtId="0" fontId="6" fillId="0" borderId="6" xfId="50" applyFont="1" applyBorder="1" applyAlignment="1">
      <alignment vertical="center"/>
    </xf>
    <xf numFmtId="2" fontId="1" fillId="3" borderId="4" xfId="50" applyNumberFormat="1" applyFill="1" applyBorder="1" applyAlignment="1">
      <alignment horizontal="center"/>
    </xf>
    <xf numFmtId="0" fontId="1" fillId="0" borderId="4" xfId="50" applyBorder="1" applyAlignment="1">
      <alignment horizontal="center"/>
    </xf>
    <xf numFmtId="0" fontId="1" fillId="0" borderId="0" xfId="50" applyAlignment="1">
      <alignment wrapText="1"/>
    </xf>
    <xf numFmtId="0" fontId="1" fillId="0" borderId="6" xfId="50" applyBorder="1" applyAlignment="1">
      <alignment vertical="center"/>
    </xf>
    <xf numFmtId="0" fontId="1" fillId="0" borderId="0" xfId="50" applyAlignment="1">
      <alignment horizontal="center"/>
    </xf>
    <xf numFmtId="2" fontId="1" fillId="5" borderId="4" xfId="50" applyNumberFormat="1" applyFill="1" applyBorder="1" applyAlignment="1">
      <alignment horizontal="center"/>
    </xf>
    <xf numFmtId="176" fontId="1" fillId="5" borderId="4" xfId="50" applyNumberFormat="1" applyFill="1" applyBorder="1" applyAlignment="1">
      <alignment horizontal="center"/>
    </xf>
    <xf numFmtId="0" fontId="7" fillId="0" borderId="0" xfId="50" applyFont="1" applyAlignment="1">
      <alignment vertical="center" wrapText="1"/>
    </xf>
    <xf numFmtId="2" fontId="1" fillId="0" borderId="0" xfId="50" applyNumberFormat="1" applyAlignment="1">
      <alignment horizontal="center"/>
    </xf>
    <xf numFmtId="0" fontId="1" fillId="0" borderId="0" xfId="50" applyAlignment="1">
      <alignment horizontal="right" vertical="center"/>
    </xf>
    <xf numFmtId="0" fontId="6" fillId="6" borderId="0" xfId="50" applyFont="1" applyFill="1" applyAlignment="1">
      <alignment horizontal="center" vertical="center"/>
    </xf>
    <xf numFmtId="0" fontId="1" fillId="0" borderId="6" xfId="50" applyBorder="1" applyAlignment="1">
      <alignment horizontal="left" vertical="top"/>
    </xf>
    <xf numFmtId="177" fontId="1" fillId="0" borderId="4" xfId="50" applyNumberFormat="1" applyBorder="1" applyAlignment="1">
      <alignment horizontal="center"/>
    </xf>
    <xf numFmtId="0" fontId="1" fillId="7" borderId="6" xfId="50" applyFill="1" applyBorder="1" applyAlignment="1">
      <alignment horizontal="left" vertical="center"/>
    </xf>
    <xf numFmtId="0" fontId="1" fillId="0" borderId="7" xfId="50" applyBorder="1" applyAlignment="1">
      <alignment horizontal="center"/>
    </xf>
    <xf numFmtId="0" fontId="1" fillId="0" borderId="7" xfId="50" applyBorder="1" applyAlignment="1">
      <alignment horizontal="center" vertical="center"/>
    </xf>
    <xf numFmtId="2" fontId="1" fillId="0" borderId="7" xfId="50" applyNumberFormat="1" applyBorder="1" applyAlignment="1">
      <alignment horizontal="center"/>
    </xf>
    <xf numFmtId="0" fontId="1" fillId="0" borderId="6" xfId="50" applyBorder="1" applyAlignment="1">
      <alignment horizontal="left" vertical="center"/>
    </xf>
    <xf numFmtId="177" fontId="1" fillId="0" borderId="7" xfId="50" applyNumberFormat="1" applyBorder="1" applyAlignment="1">
      <alignment horizontal="center"/>
    </xf>
    <xf numFmtId="177" fontId="1" fillId="0" borderId="4" xfId="50" applyNumberFormat="1" applyBorder="1" applyAlignment="1">
      <alignment horizontal="center" vertical="center"/>
    </xf>
    <xf numFmtId="0" fontId="1" fillId="7" borderId="6" xfId="50" applyFill="1" applyBorder="1" applyAlignment="1">
      <alignment horizontal="left" vertical="top"/>
    </xf>
    <xf numFmtId="2" fontId="8" fillId="0" borderId="4" xfId="50" applyNumberFormat="1" applyFont="1" applyBorder="1" applyAlignment="1">
      <alignment horizontal="center"/>
    </xf>
    <xf numFmtId="0" fontId="1" fillId="0" borderId="8" xfId="50" applyBorder="1" applyAlignment="1">
      <alignment horizontal="center" vertical="center"/>
    </xf>
    <xf numFmtId="0" fontId="1" fillId="0" borderId="0" xfId="50" applyAlignment="1">
      <alignment horizontal="center" vertical="center"/>
    </xf>
    <xf numFmtId="1" fontId="1" fillId="0" borderId="4" xfId="50" applyNumberFormat="1" applyBorder="1" applyAlignment="1">
      <alignment horizontal="center"/>
    </xf>
    <xf numFmtId="1" fontId="1" fillId="0" borderId="0" xfId="50" applyNumberFormat="1" applyAlignment="1">
      <alignment horizontal="center"/>
    </xf>
    <xf numFmtId="0" fontId="9" fillId="2" borderId="4" xfId="50" applyFont="1" applyFill="1" applyBorder="1" applyAlignment="1">
      <alignment horizontal="center" vertical="center" wrapText="1"/>
    </xf>
    <xf numFmtId="0" fontId="9" fillId="0" borderId="0" xfId="50" applyFont="1" applyAlignment="1">
      <alignment horizontal="center" vertical="center" wrapText="1"/>
    </xf>
    <xf numFmtId="0" fontId="6" fillId="0" borderId="4" xfId="50" applyFont="1" applyBorder="1"/>
    <xf numFmtId="177" fontId="6" fillId="0" borderId="4" xfId="50" applyNumberFormat="1" applyFont="1" applyBorder="1" applyAlignment="1">
      <alignment horizontal="center"/>
    </xf>
    <xf numFmtId="177" fontId="6" fillId="0" borderId="0" xfId="50" applyNumberFormat="1" applyFont="1" applyAlignment="1">
      <alignment horizontal="center"/>
    </xf>
    <xf numFmtId="0" fontId="6" fillId="0" borderId="4" xfId="50" applyFont="1" applyBorder="1" applyAlignment="1">
      <alignment horizontal="center"/>
    </xf>
    <xf numFmtId="0" fontId="6" fillId="0" borderId="0" xfId="50" applyFont="1" applyAlignment="1">
      <alignment horizontal="center"/>
    </xf>
    <xf numFmtId="0" fontId="6" fillId="4" borderId="4" xfId="50" applyFont="1" applyFill="1" applyBorder="1"/>
    <xf numFmtId="0" fontId="4" fillId="2" borderId="0" xfId="50" applyFont="1" applyFill="1" applyAlignment="1">
      <alignment horizontal="center" vertical="center" wrapText="1"/>
    </xf>
    <xf numFmtId="0" fontId="9" fillId="2" borderId="0" xfId="50" applyFont="1" applyFill="1" applyAlignment="1">
      <alignment horizontal="center" vertical="center" wrapText="1"/>
    </xf>
    <xf numFmtId="0" fontId="6" fillId="0" borderId="9" xfId="50" applyFont="1" applyBorder="1"/>
    <xf numFmtId="177" fontId="6" fillId="0" borderId="10" xfId="50" applyNumberFormat="1" applyFont="1" applyBorder="1" applyAlignment="1">
      <alignment horizontal="center"/>
    </xf>
    <xf numFmtId="0" fontId="6" fillId="4" borderId="11" xfId="50" applyFont="1" applyFill="1" applyBorder="1"/>
    <xf numFmtId="177" fontId="6" fillId="0" borderId="12" xfId="50" applyNumberFormat="1" applyFont="1" applyBorder="1" applyAlignment="1">
      <alignment horizontal="center"/>
    </xf>
    <xf numFmtId="0" fontId="4" fillId="2" borderId="0" xfId="50" applyFont="1" applyFill="1" applyAlignment="1">
      <alignment horizontal="left" vertical="center"/>
    </xf>
    <xf numFmtId="0" fontId="1" fillId="2" borderId="0" xfId="50" applyFill="1"/>
    <xf numFmtId="2" fontId="1" fillId="0" borderId="0" xfId="50" applyNumberFormat="1" applyAlignment="1">
      <alignment vertical="center"/>
    </xf>
    <xf numFmtId="0" fontId="5" fillId="0" borderId="0" xfId="50" applyFo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dxfs count="2">
    <dxf>
      <fill>
        <patternFill patternType="solid">
          <bgColor theme="9" tint="0.399945066682943"/>
        </patternFill>
      </fill>
    </dxf>
    <dxf>
      <fill>
        <patternFill patternType="solid"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182880</xdr:colOff>
      <xdr:row>182</xdr:row>
      <xdr:rowOff>152400</xdr:rowOff>
    </xdr:from>
    <xdr:to>
      <xdr:col>1</xdr:col>
      <xdr:colOff>571500</xdr:colOff>
      <xdr:row>187</xdr:row>
      <xdr:rowOff>0</xdr:rowOff>
    </xdr:to>
    <xdr:sp>
      <xdr:nvSpPr>
        <xdr:cNvPr id="2" name="Picture 1" hidden="1"/>
        <xdr:cNvSpPr/>
      </xdr:nvSpPr>
      <xdr:spPr>
        <a:xfrm>
          <a:off x="182880" y="29677995"/>
          <a:ext cx="2788920" cy="64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0</xdr:col>
      <xdr:colOff>182880</xdr:colOff>
      <xdr:row>177</xdr:row>
      <xdr:rowOff>99060</xdr:rowOff>
    </xdr:from>
    <xdr:to>
      <xdr:col>1</xdr:col>
      <xdr:colOff>571500</xdr:colOff>
      <xdr:row>181</xdr:row>
      <xdr:rowOff>114300</xdr:rowOff>
    </xdr:to>
    <xdr:sp>
      <xdr:nvSpPr>
        <xdr:cNvPr id="3" name="Picture 2" hidden="1"/>
        <xdr:cNvSpPr/>
      </xdr:nvSpPr>
      <xdr:spPr>
        <a:xfrm>
          <a:off x="182880" y="28830905"/>
          <a:ext cx="2788920" cy="6502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0</xdr:col>
      <xdr:colOff>182880</xdr:colOff>
      <xdr:row>182</xdr:row>
      <xdr:rowOff>152400</xdr:rowOff>
    </xdr:from>
    <xdr:to>
      <xdr:col>1</xdr:col>
      <xdr:colOff>571500</xdr:colOff>
      <xdr:row>187</xdr:row>
      <xdr:rowOff>0</xdr:rowOff>
    </xdr:to>
    <xdr:pic>
      <xdr:nvPicPr>
        <xdr:cNvPr id="4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80" y="29677995"/>
          <a:ext cx="2788920" cy="64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182880</xdr:colOff>
      <xdr:row>177</xdr:row>
      <xdr:rowOff>99060</xdr:rowOff>
    </xdr:from>
    <xdr:to>
      <xdr:col>1</xdr:col>
      <xdr:colOff>571500</xdr:colOff>
      <xdr:row>181</xdr:row>
      <xdr:rowOff>114300</xdr:rowOff>
    </xdr:to>
    <xdr:pic>
      <xdr:nvPicPr>
        <xdr:cNvPr id="5" name="Picture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80" y="28830905"/>
          <a:ext cx="2788920" cy="6502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i.zhang13.o\Desktop\&#24352;&#30922;\Bundle%20diameter%20calculater%20+%20split%20and%20combine%20bundles%20Rev%205.0%201Mar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103;&#26412;&#35768;&#27874;&#25216;&#26415;&#20449;&#24687;2021.0804.xlsb%20&#30340;&#21103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a, split, combine"/>
      <sheetName val="ConvolutedTubesSpecs"/>
      <sheetName val="JASO Styles"/>
      <sheetName val="Revision Control"/>
    </sheetNames>
    <sheetDataSet>
      <sheetData sheetId="0" refreshError="1"/>
      <sheetData sheetId="1" refreshError="1">
        <row r="6">
          <cell r="B6" t="str">
            <v>Min. Inner Diameter</v>
          </cell>
        </row>
        <row r="7">
          <cell r="B7">
            <v>4</v>
          </cell>
        </row>
        <row r="7">
          <cell r="E7">
            <v>7.4</v>
          </cell>
        </row>
        <row r="8">
          <cell r="B8">
            <v>5.7</v>
          </cell>
        </row>
        <row r="9">
          <cell r="B9">
            <v>6.6</v>
          </cell>
        </row>
        <row r="10">
          <cell r="B10">
            <v>8.2</v>
          </cell>
        </row>
        <row r="11">
          <cell r="B11">
            <v>9</v>
          </cell>
        </row>
        <row r="12">
          <cell r="B12">
            <v>11.1</v>
          </cell>
        </row>
        <row r="13">
          <cell r="B13">
            <v>12.4</v>
          </cell>
        </row>
        <row r="14">
          <cell r="B14">
            <v>14</v>
          </cell>
        </row>
        <row r="15">
          <cell r="B15">
            <v>14.9</v>
          </cell>
        </row>
        <row r="16">
          <cell r="B16">
            <v>16.2</v>
          </cell>
        </row>
        <row r="17">
          <cell r="B17">
            <v>19</v>
          </cell>
        </row>
        <row r="18">
          <cell r="B18">
            <v>21.2</v>
          </cell>
        </row>
        <row r="19">
          <cell r="B19">
            <v>22.2</v>
          </cell>
        </row>
        <row r="20">
          <cell r="B20">
            <v>25.4</v>
          </cell>
        </row>
        <row r="21">
          <cell r="B21">
            <v>28.2</v>
          </cell>
        </row>
        <row r="22">
          <cell r="B22">
            <v>29.71</v>
          </cell>
        </row>
        <row r="23">
          <cell r="B23">
            <v>30.4</v>
          </cell>
        </row>
        <row r="24">
          <cell r="B24">
            <v>32</v>
          </cell>
        </row>
        <row r="25">
          <cell r="B25">
            <v>36</v>
          </cell>
        </row>
        <row r="26">
          <cell r="B26">
            <v>39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lip"/>
      <sheetName val="外发供应商"/>
      <sheetName val="总集"/>
      <sheetName val="高低配"/>
      <sheetName val="欧洲与中国对应塑件 (2)"/>
      <sheetName val="高低配对应塑件 (2)"/>
      <sheetName val="变更记录"/>
      <sheetName val="每日工作"/>
      <sheetName val="sirious 线束表 "/>
      <sheetName val="IRIUS List"/>
      <sheetName val="sirius"/>
      <sheetName val="线束表0723"/>
      <sheetName val="线束预留长度统计0722"/>
      <sheetName val="线束表0722"/>
      <sheetName val="线束质量"/>
      <sheetName val="欧洲与中国对应塑件"/>
      <sheetName val="高低配对应塑件"/>
      <sheetName val="Connector Address List"/>
      <sheetName val="线束表"/>
      <sheetName val="新开发支架供应商号"/>
      <sheetName val="线束中英文名称"/>
      <sheetName val="2D图纸检查流程"/>
      <sheetName val="线束图纸专项CHECK LIST"/>
      <sheetName val="MS Summary"/>
      <sheetName val="3D CHECKLIST"/>
      <sheetName val="工程零件分类描述标准"/>
      <sheetName val="线束预留长度识别"/>
      <sheetName val="ICD (2)"/>
      <sheetName val="装配余量分支汇总"/>
      <sheetName val="水管卡钉"/>
      <sheetName val="Pegasus Clip"/>
      <sheetName val="博浩卡钉"/>
      <sheetName val="Pegasus低压线束DB零件"/>
      <sheetName val="图纸技术说明"/>
      <sheetName val="Dia, split, combine"/>
      <sheetName val="问题清单"/>
      <sheetName val="线径计算"/>
      <sheetName val="环境信息"/>
      <sheetName val="ICD"/>
      <sheetName val="线束零件号"/>
      <sheetName val="橡胶件"/>
      <sheetName val="3D分配"/>
      <sheetName val="Ring-New"/>
      <sheetName val="橡胶件检查清单"/>
      <sheetName val="实用网址"/>
      <sheetName val="卡钉"/>
      <sheetName val="密码"/>
      <sheetName val="Inline Overview"/>
      <sheetName val="BODY TO ROOF A-PILLAR"/>
      <sheetName val="无release数据记录"/>
      <sheetName val="卡钉无released"/>
      <sheetName val="Track List"/>
      <sheetName val="橡胶件表单"/>
      <sheetName val="Grommet (2)"/>
      <sheetName val="橡胶件新开件"/>
      <sheetName val="Filling Rate V9"/>
      <sheetName val="卡扣类型统计"/>
      <sheetName val="Sheet1"/>
      <sheetName val="sheet1 (2)"/>
      <sheetName val="Sheet1 (3)"/>
      <sheetName val="项目主体计划"/>
      <sheetName val="VB开发计划"/>
      <sheetName val="P0图纸详细计划"/>
      <sheetName val="参数制作进度"/>
      <sheetName val="LWR BODY OKTC release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5"/>
  <sheetViews>
    <sheetView tabSelected="1" topLeftCell="A141" workbookViewId="0">
      <selection activeCell="E169" sqref="E169"/>
    </sheetView>
  </sheetViews>
  <sheetFormatPr defaultColWidth="11.5" defaultRowHeight="12.5"/>
  <cols>
    <col min="1" max="1" width="31.5" style="2" customWidth="1"/>
    <col min="2" max="2" width="31.625" style="2" customWidth="1"/>
    <col min="3" max="3" width="17.875" style="2" customWidth="1"/>
    <col min="4" max="5" width="22.875" style="3" customWidth="1"/>
    <col min="6" max="8" width="15.625" style="3" customWidth="1"/>
    <col min="9" max="9" width="16.5" style="3" customWidth="1"/>
    <col min="10" max="10" width="43.875" style="1" customWidth="1"/>
    <col min="11" max="11" width="21" style="2" customWidth="1"/>
    <col min="12" max="12" width="16.375" style="2" customWidth="1"/>
    <col min="13" max="13" width="11.5" style="2"/>
    <col min="14" max="14" width="44.375" style="2" customWidth="1"/>
    <col min="15" max="16384" width="11.5" style="2"/>
  </cols>
  <sheetData>
    <row r="1" ht="33" customHeight="1" spans="1:13">
      <c r="A1" s="4" t="s">
        <v>0</v>
      </c>
      <c r="C1" s="5" t="s">
        <v>1</v>
      </c>
      <c r="D1" s="6"/>
      <c r="E1" s="6"/>
      <c r="F1" s="6"/>
      <c r="G1" s="6"/>
      <c r="H1" s="7"/>
      <c r="I1" s="2"/>
    </row>
    <row r="2" s="1" customFormat="1" ht="26" spans="1:13">
      <c r="A2" s="8" t="s">
        <v>2</v>
      </c>
      <c r="B2" s="9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2" t="s">
        <v>8</v>
      </c>
      <c r="H2" s="12" t="s">
        <v>9</v>
      </c>
      <c r="I2" s="12" t="s">
        <v>10</v>
      </c>
      <c r="K2" s="2"/>
      <c r="L2" s="13"/>
      <c r="M2" s="13"/>
    </row>
    <row r="3" ht="17.5" spans="1:13">
      <c r="A3" s="14">
        <v>0</v>
      </c>
      <c r="B3" s="15">
        <v>0.13</v>
      </c>
      <c r="C3" s="15" t="s">
        <v>11</v>
      </c>
      <c r="D3" s="16">
        <v>0.95</v>
      </c>
      <c r="E3" s="16">
        <f>D3*A3</f>
        <v>0</v>
      </c>
      <c r="F3" s="17">
        <f>A3*(((D3/2)^2)*3.1415927)</f>
        <v>0</v>
      </c>
      <c r="G3" s="17"/>
      <c r="H3" s="18">
        <v>1.8</v>
      </c>
      <c r="I3" s="19">
        <f>IF(A3&lt;&gt;0,(G3*H3)/1000,0)</f>
        <v>0</v>
      </c>
      <c r="J3" s="20" t="s">
        <v>12</v>
      </c>
      <c r="K3" s="21">
        <f>SUM(F3:F156)</f>
        <v>20.77378172875</v>
      </c>
    </row>
    <row r="4" ht="13" spans="1:13">
      <c r="A4" s="14">
        <v>0</v>
      </c>
      <c r="B4" s="15">
        <v>0.13</v>
      </c>
      <c r="C4" s="15" t="s">
        <v>13</v>
      </c>
      <c r="D4" s="16">
        <v>1.05</v>
      </c>
      <c r="E4" s="16">
        <f t="shared" ref="E4:E62" si="0">D4*A4</f>
        <v>0</v>
      </c>
      <c r="F4" s="17">
        <f t="shared" ref="F4:F67" si="1">A4*(((D4/2)^2)*3.1415927)</f>
        <v>0</v>
      </c>
      <c r="G4" s="17"/>
      <c r="H4" s="18">
        <v>2.1</v>
      </c>
      <c r="I4" s="19">
        <f t="shared" ref="I4:I67" si="2">IF(A4&lt;&gt;0,(G4*H4)/1000,0)</f>
        <v>0</v>
      </c>
      <c r="J4" s="22"/>
      <c r="K4" s="21"/>
    </row>
    <row r="5" ht="13" spans="1:13">
      <c r="A5" s="14">
        <v>0</v>
      </c>
      <c r="B5" s="15">
        <v>0.22</v>
      </c>
      <c r="C5" s="15" t="s">
        <v>11</v>
      </c>
      <c r="D5" s="17">
        <v>1.05</v>
      </c>
      <c r="E5" s="16">
        <f t="shared" si="0"/>
        <v>0</v>
      </c>
      <c r="F5" s="17">
        <f t="shared" si="1"/>
        <v>0</v>
      </c>
      <c r="G5" s="17"/>
      <c r="H5" s="18">
        <v>2.8</v>
      </c>
      <c r="I5" s="19">
        <f t="shared" si="2"/>
        <v>0</v>
      </c>
      <c r="J5" s="20" t="s">
        <v>14</v>
      </c>
      <c r="K5" s="23" t="s">
        <v>15</v>
      </c>
    </row>
    <row r="6" ht="13" spans="1:13">
      <c r="A6" s="14">
        <v>0</v>
      </c>
      <c r="B6" s="15">
        <v>0.22</v>
      </c>
      <c r="C6" s="15" t="s">
        <v>13</v>
      </c>
      <c r="D6" s="17">
        <v>1.2</v>
      </c>
      <c r="E6" s="16">
        <f t="shared" si="0"/>
        <v>0</v>
      </c>
      <c r="F6" s="17">
        <f t="shared" si="1"/>
        <v>0</v>
      </c>
      <c r="G6" s="17"/>
      <c r="H6" s="18">
        <v>3.1</v>
      </c>
      <c r="I6" s="19">
        <f t="shared" si="2"/>
        <v>0</v>
      </c>
      <c r="J6" s="22"/>
      <c r="K6" s="21"/>
    </row>
    <row r="7" ht="13" spans="1:13">
      <c r="A7" s="14">
        <v>0</v>
      </c>
      <c r="B7" s="24">
        <v>0.35</v>
      </c>
      <c r="C7" s="15" t="s">
        <v>11</v>
      </c>
      <c r="D7" s="21">
        <v>1.2</v>
      </c>
      <c r="E7" s="16">
        <f t="shared" si="0"/>
        <v>0</v>
      </c>
      <c r="F7" s="17">
        <f t="shared" si="1"/>
        <v>0</v>
      </c>
      <c r="G7" s="17"/>
      <c r="H7" s="18">
        <v>4</v>
      </c>
      <c r="I7" s="19">
        <f t="shared" si="2"/>
        <v>0</v>
      </c>
      <c r="J7" s="20" t="s">
        <v>16</v>
      </c>
      <c r="K7" s="21">
        <v>1.2</v>
      </c>
      <c r="L7" s="25" t="s">
        <v>17</v>
      </c>
    </row>
    <row r="8" spans="1:13">
      <c r="A8" s="14">
        <v>0</v>
      </c>
      <c r="B8" s="15">
        <v>0.35</v>
      </c>
      <c r="C8" s="15" t="s">
        <v>13</v>
      </c>
      <c r="D8" s="17">
        <v>1.4</v>
      </c>
      <c r="E8" s="16">
        <f t="shared" si="0"/>
        <v>0</v>
      </c>
      <c r="F8" s="17">
        <f t="shared" si="1"/>
        <v>0</v>
      </c>
      <c r="G8" s="17"/>
      <c r="H8" s="18">
        <v>4.3</v>
      </c>
      <c r="I8" s="19">
        <f t="shared" si="2"/>
        <v>0</v>
      </c>
      <c r="J8" s="26"/>
      <c r="K8" s="21"/>
      <c r="L8" s="2" t="s">
        <v>18</v>
      </c>
    </row>
    <row r="9" ht="13" spans="1:13">
      <c r="A9" s="14">
        <v>0</v>
      </c>
      <c r="B9" s="24">
        <v>0.5</v>
      </c>
      <c r="C9" s="15" t="s">
        <v>11</v>
      </c>
      <c r="D9" s="21">
        <v>1.4</v>
      </c>
      <c r="E9" s="16">
        <f t="shared" si="0"/>
        <v>0</v>
      </c>
      <c r="F9" s="17">
        <f t="shared" si="1"/>
        <v>0</v>
      </c>
      <c r="G9" s="17"/>
      <c r="H9" s="18">
        <v>5.6</v>
      </c>
      <c r="I9" s="19">
        <f t="shared" si="2"/>
        <v>0</v>
      </c>
      <c r="J9" s="20" t="s">
        <v>19</v>
      </c>
      <c r="K9" s="21">
        <f>(SQRT(((K3*K7*1.68))/(3.1415927)))*2</f>
        <v>7.30227361853827</v>
      </c>
      <c r="L9" s="2" t="s">
        <v>20</v>
      </c>
    </row>
    <row r="10" spans="1:13">
      <c r="A10" s="14">
        <v>0</v>
      </c>
      <c r="B10" s="24">
        <v>0.5</v>
      </c>
      <c r="C10" s="15" t="s">
        <v>13</v>
      </c>
      <c r="D10" s="21">
        <v>1.6</v>
      </c>
      <c r="E10" s="16">
        <v>8</v>
      </c>
      <c r="F10" s="17">
        <f t="shared" si="1"/>
        <v>0</v>
      </c>
      <c r="G10" s="17"/>
      <c r="H10" s="18">
        <v>6.3</v>
      </c>
      <c r="I10" s="19">
        <f t="shared" si="2"/>
        <v>0</v>
      </c>
      <c r="K10" s="27"/>
    </row>
    <row r="11" ht="13" spans="1:13">
      <c r="A11" s="14">
        <v>5</v>
      </c>
      <c r="B11" s="24">
        <v>0.5</v>
      </c>
      <c r="C11" s="15" t="s">
        <v>21</v>
      </c>
      <c r="D11" s="21">
        <v>2.3</v>
      </c>
      <c r="E11" s="16">
        <f t="shared" si="0"/>
        <v>11.5</v>
      </c>
      <c r="F11" s="17">
        <f t="shared" si="1"/>
        <v>20.77378172875</v>
      </c>
      <c r="G11" s="17"/>
      <c r="H11" s="18">
        <v>8.9</v>
      </c>
      <c r="I11" s="19">
        <f t="shared" si="2"/>
        <v>0</v>
      </c>
      <c r="J11" s="20" t="s">
        <v>22</v>
      </c>
      <c r="K11" s="24" t="s">
        <v>23</v>
      </c>
    </row>
    <row r="12" spans="1:13">
      <c r="A12" s="14">
        <v>0</v>
      </c>
      <c r="B12" s="24">
        <v>0.75</v>
      </c>
      <c r="C12" s="15" t="s">
        <v>11</v>
      </c>
      <c r="D12" s="21">
        <v>1.6</v>
      </c>
      <c r="E12" s="16">
        <f t="shared" si="0"/>
        <v>0</v>
      </c>
      <c r="F12" s="17">
        <f t="shared" si="1"/>
        <v>0</v>
      </c>
      <c r="G12" s="17"/>
      <c r="H12" s="18">
        <v>7.7</v>
      </c>
      <c r="I12" s="19">
        <f t="shared" si="2"/>
        <v>0</v>
      </c>
      <c r="K12" s="27"/>
    </row>
    <row r="13" ht="13" spans="1:13">
      <c r="A13" s="14">
        <v>0</v>
      </c>
      <c r="B13" s="24">
        <v>0.75</v>
      </c>
      <c r="C13" s="15" t="s">
        <v>13</v>
      </c>
      <c r="D13" s="21">
        <v>1.9</v>
      </c>
      <c r="E13" s="16">
        <f t="shared" si="0"/>
        <v>0</v>
      </c>
      <c r="F13" s="17">
        <f t="shared" si="1"/>
        <v>0</v>
      </c>
      <c r="G13" s="17"/>
      <c r="H13" s="18">
        <v>8.8</v>
      </c>
      <c r="I13" s="19">
        <f t="shared" si="2"/>
        <v>0</v>
      </c>
      <c r="J13" s="20" t="s">
        <v>24</v>
      </c>
      <c r="K13" s="28">
        <f ca="1">IF(K11="No",K9+0.5,IF(K9=0,"N/A",IF(K9*1.1&lt;=[1]ConvolutedTubesSpecs!B7,[1]ConvolutedTubesSpecs!E7,OFFSET([1]ConvolutedTubesSpecs!B6,MATCH(K9*1.1,[1]ConvolutedTubesSpecs!B6:B26,1),3))))</f>
        <v>7.80227361853827</v>
      </c>
    </row>
    <row r="14" spans="1:13">
      <c r="A14" s="14">
        <v>0</v>
      </c>
      <c r="B14" s="24">
        <v>0.75</v>
      </c>
      <c r="C14" s="15" t="s">
        <v>21</v>
      </c>
      <c r="D14" s="21">
        <v>2.5</v>
      </c>
      <c r="E14" s="16">
        <f t="shared" si="0"/>
        <v>0</v>
      </c>
      <c r="F14" s="17">
        <f t="shared" si="1"/>
        <v>0</v>
      </c>
      <c r="G14" s="17"/>
      <c r="H14" s="18">
        <v>11</v>
      </c>
      <c r="I14" s="19">
        <f t="shared" si="2"/>
        <v>0</v>
      </c>
      <c r="K14" s="27"/>
    </row>
    <row r="15" ht="13" spans="1:13">
      <c r="A15" s="14">
        <v>0</v>
      </c>
      <c r="B15" s="24">
        <v>1</v>
      </c>
      <c r="C15" s="15" t="s">
        <v>11</v>
      </c>
      <c r="D15" s="21">
        <v>1.75</v>
      </c>
      <c r="E15" s="16">
        <f t="shared" si="0"/>
        <v>0</v>
      </c>
      <c r="F15" s="17">
        <f t="shared" si="1"/>
        <v>0</v>
      </c>
      <c r="G15" s="17"/>
      <c r="H15" s="18">
        <v>10</v>
      </c>
      <c r="I15" s="19">
        <f t="shared" si="2"/>
        <v>0</v>
      </c>
      <c r="J15" s="20" t="s">
        <v>25</v>
      </c>
      <c r="K15" s="29">
        <f>SUM(I3:I141)/1000</f>
        <v>0</v>
      </c>
      <c r="L15" s="2" t="s">
        <v>26</v>
      </c>
    </row>
    <row r="16" spans="1:13">
      <c r="A16" s="14">
        <v>0</v>
      </c>
      <c r="B16" s="24">
        <v>1</v>
      </c>
      <c r="C16" s="15" t="s">
        <v>13</v>
      </c>
      <c r="D16" s="21">
        <v>2.1</v>
      </c>
      <c r="E16" s="16">
        <f t="shared" si="0"/>
        <v>0</v>
      </c>
      <c r="F16" s="17">
        <f t="shared" si="1"/>
        <v>0</v>
      </c>
      <c r="G16" s="17"/>
      <c r="H16" s="18">
        <v>11.4</v>
      </c>
      <c r="I16" s="19">
        <f t="shared" si="2"/>
        <v>0</v>
      </c>
      <c r="K16" s="27"/>
    </row>
    <row r="17" spans="1:11">
      <c r="A17" s="14">
        <v>0</v>
      </c>
      <c r="B17" s="24">
        <v>1</v>
      </c>
      <c r="C17" s="15" t="s">
        <v>21</v>
      </c>
      <c r="D17" s="21">
        <v>2.7</v>
      </c>
      <c r="E17" s="16">
        <f t="shared" si="0"/>
        <v>0</v>
      </c>
      <c r="F17" s="17">
        <f t="shared" si="1"/>
        <v>0</v>
      </c>
      <c r="G17" s="17"/>
      <c r="H17" s="18">
        <v>13.7</v>
      </c>
      <c r="I17" s="19">
        <f t="shared" si="2"/>
        <v>0</v>
      </c>
      <c r="J17" s="30" t="s">
        <v>27</v>
      </c>
      <c r="K17" s="31"/>
    </row>
    <row r="18" spans="1:11">
      <c r="A18" s="14">
        <v>0</v>
      </c>
      <c r="B18" s="24">
        <v>1.5</v>
      </c>
      <c r="C18" s="15" t="s">
        <v>11</v>
      </c>
      <c r="D18" s="21">
        <v>2.1</v>
      </c>
      <c r="E18" s="16">
        <f t="shared" si="0"/>
        <v>0</v>
      </c>
      <c r="F18" s="17">
        <f t="shared" si="1"/>
        <v>0</v>
      </c>
      <c r="G18" s="17"/>
      <c r="H18" s="18">
        <v>14.7</v>
      </c>
      <c r="I18" s="19">
        <f t="shared" si="2"/>
        <v>0</v>
      </c>
      <c r="J18" s="30"/>
      <c r="K18" s="27"/>
    </row>
    <row r="19" spans="1:11">
      <c r="A19" s="14">
        <v>0</v>
      </c>
      <c r="B19" s="24">
        <v>1.5</v>
      </c>
      <c r="C19" s="15" t="s">
        <v>13</v>
      </c>
      <c r="D19" s="21">
        <v>2.4</v>
      </c>
      <c r="E19" s="16">
        <f t="shared" si="0"/>
        <v>0</v>
      </c>
      <c r="F19" s="17">
        <f t="shared" si="1"/>
        <v>0</v>
      </c>
      <c r="G19" s="17"/>
      <c r="H19" s="18">
        <v>16</v>
      </c>
      <c r="I19" s="19">
        <f t="shared" si="2"/>
        <v>0</v>
      </c>
      <c r="J19" s="30"/>
      <c r="K19" s="27"/>
    </row>
    <row r="20" spans="1:11">
      <c r="A20" s="14">
        <v>0</v>
      </c>
      <c r="B20" s="24">
        <v>1.5</v>
      </c>
      <c r="C20" s="15" t="s">
        <v>21</v>
      </c>
      <c r="D20" s="21">
        <v>3</v>
      </c>
      <c r="E20" s="16">
        <v>2</v>
      </c>
      <c r="F20" s="17">
        <f t="shared" si="1"/>
        <v>0</v>
      </c>
      <c r="G20" s="17"/>
      <c r="H20" s="18">
        <v>18.7</v>
      </c>
      <c r="I20" s="19">
        <f t="shared" si="2"/>
        <v>0</v>
      </c>
      <c r="J20" s="30"/>
      <c r="K20" s="27"/>
    </row>
    <row r="21" spans="1:11">
      <c r="A21" s="14">
        <v>0</v>
      </c>
      <c r="B21" s="24">
        <v>2</v>
      </c>
      <c r="C21" s="15" t="s">
        <v>11</v>
      </c>
      <c r="D21" s="21">
        <v>2.4</v>
      </c>
      <c r="E21" s="16">
        <f t="shared" si="0"/>
        <v>0</v>
      </c>
      <c r="F21" s="17">
        <f t="shared" si="1"/>
        <v>0</v>
      </c>
      <c r="G21" s="17"/>
      <c r="H21" s="18">
        <v>20.3</v>
      </c>
      <c r="I21" s="19">
        <f t="shared" si="2"/>
        <v>0</v>
      </c>
      <c r="J21" s="30"/>
      <c r="K21" s="31"/>
    </row>
    <row r="22" spans="1:11">
      <c r="A22" s="14">
        <v>0</v>
      </c>
      <c r="B22" s="24">
        <v>2</v>
      </c>
      <c r="C22" s="15" t="s">
        <v>13</v>
      </c>
      <c r="D22" s="21">
        <v>2.8</v>
      </c>
      <c r="E22" s="16">
        <f t="shared" si="0"/>
        <v>0</v>
      </c>
      <c r="F22" s="17">
        <f t="shared" si="1"/>
        <v>0</v>
      </c>
      <c r="G22" s="17"/>
      <c r="H22" s="18">
        <v>21.5</v>
      </c>
      <c r="I22" s="19">
        <f t="shared" si="2"/>
        <v>0</v>
      </c>
      <c r="J22" s="30"/>
      <c r="K22" s="27"/>
    </row>
    <row r="23" spans="1:11">
      <c r="A23" s="14">
        <v>0</v>
      </c>
      <c r="B23" s="24">
        <v>2</v>
      </c>
      <c r="C23" s="15" t="s">
        <v>21</v>
      </c>
      <c r="D23" s="21">
        <v>3.3</v>
      </c>
      <c r="E23" s="16">
        <f t="shared" si="0"/>
        <v>0</v>
      </c>
      <c r="F23" s="17">
        <f t="shared" si="1"/>
        <v>0</v>
      </c>
      <c r="G23" s="17"/>
      <c r="H23" s="18">
        <v>24.7</v>
      </c>
      <c r="I23" s="19">
        <f t="shared" si="2"/>
        <v>0</v>
      </c>
      <c r="K23" s="27"/>
    </row>
    <row r="24" spans="1:11">
      <c r="A24" s="14">
        <v>0</v>
      </c>
      <c r="B24" s="24">
        <v>2.5</v>
      </c>
      <c r="C24" s="15" t="s">
        <v>11</v>
      </c>
      <c r="D24" s="21">
        <v>2.7</v>
      </c>
      <c r="E24" s="16">
        <f t="shared" si="0"/>
        <v>0</v>
      </c>
      <c r="F24" s="17">
        <f t="shared" si="1"/>
        <v>0</v>
      </c>
      <c r="G24" s="17"/>
      <c r="H24" s="18">
        <v>24.5</v>
      </c>
      <c r="I24" s="19">
        <f t="shared" si="2"/>
        <v>0</v>
      </c>
      <c r="K24" s="27"/>
    </row>
    <row r="25" spans="1:11">
      <c r="A25" s="14">
        <v>0</v>
      </c>
      <c r="B25" s="24">
        <v>2.5</v>
      </c>
      <c r="C25" s="15" t="s">
        <v>13</v>
      </c>
      <c r="D25" s="21">
        <v>3</v>
      </c>
      <c r="E25" s="16">
        <f t="shared" si="0"/>
        <v>0</v>
      </c>
      <c r="F25" s="17">
        <f t="shared" si="1"/>
        <v>0</v>
      </c>
      <c r="G25" s="17"/>
      <c r="H25" s="18">
        <v>26</v>
      </c>
      <c r="I25" s="19">
        <f t="shared" si="2"/>
        <v>0</v>
      </c>
      <c r="J25" s="32"/>
      <c r="K25" s="27"/>
    </row>
    <row r="26" spans="1:11">
      <c r="A26" s="14">
        <v>0</v>
      </c>
      <c r="B26" s="24">
        <v>2.5</v>
      </c>
      <c r="C26" s="15" t="s">
        <v>21</v>
      </c>
      <c r="D26" s="21">
        <v>3.6</v>
      </c>
      <c r="E26" s="16">
        <f t="shared" si="0"/>
        <v>0</v>
      </c>
      <c r="F26" s="17">
        <f t="shared" si="1"/>
        <v>0</v>
      </c>
      <c r="G26" s="17"/>
      <c r="H26" s="18">
        <v>29.6</v>
      </c>
      <c r="I26" s="19">
        <f t="shared" si="2"/>
        <v>0</v>
      </c>
      <c r="J26" s="32"/>
      <c r="K26" s="27"/>
    </row>
    <row r="27" spans="1:11">
      <c r="A27" s="14">
        <v>0</v>
      </c>
      <c r="B27" s="24">
        <v>3</v>
      </c>
      <c r="C27" s="15" t="s">
        <v>13</v>
      </c>
      <c r="D27" s="21">
        <v>3.4</v>
      </c>
      <c r="E27" s="16">
        <f t="shared" si="0"/>
        <v>0</v>
      </c>
      <c r="F27" s="17">
        <f t="shared" si="1"/>
        <v>0</v>
      </c>
      <c r="G27" s="17"/>
      <c r="H27" s="18">
        <v>33</v>
      </c>
      <c r="I27" s="19">
        <f t="shared" si="2"/>
        <v>0</v>
      </c>
      <c r="K27" s="27"/>
    </row>
    <row r="28" spans="1:11">
      <c r="A28" s="14">
        <v>0</v>
      </c>
      <c r="B28" s="24">
        <v>3</v>
      </c>
      <c r="C28" s="15" t="s">
        <v>21</v>
      </c>
      <c r="D28" s="21">
        <v>4.1</v>
      </c>
      <c r="E28" s="16">
        <f t="shared" si="0"/>
        <v>0</v>
      </c>
      <c r="F28" s="17">
        <f t="shared" si="1"/>
        <v>0</v>
      </c>
      <c r="G28" s="17"/>
      <c r="H28" s="18">
        <v>38.5</v>
      </c>
      <c r="I28" s="19">
        <f t="shared" si="2"/>
        <v>0</v>
      </c>
      <c r="K28" s="27"/>
    </row>
    <row r="29" spans="1:11">
      <c r="A29" s="14">
        <v>0</v>
      </c>
      <c r="B29" s="24">
        <v>4</v>
      </c>
      <c r="C29" s="15" t="s">
        <v>13</v>
      </c>
      <c r="D29" s="21">
        <v>3.7</v>
      </c>
      <c r="E29" s="16">
        <f t="shared" si="0"/>
        <v>0</v>
      </c>
      <c r="F29" s="17">
        <f t="shared" si="1"/>
        <v>0</v>
      </c>
      <c r="G29" s="17"/>
      <c r="H29" s="18">
        <v>41.3</v>
      </c>
      <c r="I29" s="19">
        <f t="shared" si="2"/>
        <v>0</v>
      </c>
      <c r="K29" s="27"/>
    </row>
    <row r="30" spans="1:11">
      <c r="A30" s="14">
        <v>0</v>
      </c>
      <c r="B30" s="24">
        <v>4</v>
      </c>
      <c r="C30" s="15" t="s">
        <v>21</v>
      </c>
      <c r="D30" s="21">
        <v>4.4</v>
      </c>
      <c r="E30" s="16">
        <f t="shared" si="0"/>
        <v>0</v>
      </c>
      <c r="F30" s="17">
        <f t="shared" si="1"/>
        <v>0</v>
      </c>
      <c r="G30" s="17"/>
      <c r="H30" s="18">
        <v>46.6</v>
      </c>
      <c r="I30" s="19">
        <f t="shared" si="2"/>
        <v>0</v>
      </c>
      <c r="K30" s="27"/>
    </row>
    <row r="31" spans="1:11">
      <c r="A31" s="14">
        <v>0</v>
      </c>
      <c r="B31" s="24">
        <v>5</v>
      </c>
      <c r="C31" s="15" t="s">
        <v>13</v>
      </c>
      <c r="D31" s="21">
        <v>4.2</v>
      </c>
      <c r="E31" s="16">
        <f t="shared" si="0"/>
        <v>0</v>
      </c>
      <c r="F31" s="17">
        <f t="shared" si="1"/>
        <v>0</v>
      </c>
      <c r="G31" s="17"/>
      <c r="H31" s="18">
        <v>50.1</v>
      </c>
      <c r="I31" s="19">
        <f t="shared" si="2"/>
        <v>0</v>
      </c>
      <c r="K31" s="27"/>
    </row>
    <row r="32" spans="1:11">
      <c r="A32" s="14">
        <v>0</v>
      </c>
      <c r="B32" s="24">
        <v>5</v>
      </c>
      <c r="C32" s="15" t="s">
        <v>21</v>
      </c>
      <c r="D32" s="21">
        <v>4.9</v>
      </c>
      <c r="E32" s="16">
        <f t="shared" si="0"/>
        <v>0</v>
      </c>
      <c r="F32" s="17">
        <f t="shared" si="1"/>
        <v>0</v>
      </c>
      <c r="G32" s="17"/>
      <c r="H32" s="18">
        <v>60.3</v>
      </c>
      <c r="I32" s="19">
        <f t="shared" si="2"/>
        <v>0</v>
      </c>
      <c r="K32" s="27"/>
    </row>
    <row r="33" spans="1:11">
      <c r="A33" s="14">
        <v>0</v>
      </c>
      <c r="B33" s="24">
        <v>6</v>
      </c>
      <c r="C33" s="15" t="s">
        <v>13</v>
      </c>
      <c r="D33" s="21">
        <v>4.3</v>
      </c>
      <c r="E33" s="16">
        <f t="shared" si="0"/>
        <v>0</v>
      </c>
      <c r="F33" s="17">
        <f t="shared" si="1"/>
        <v>0</v>
      </c>
      <c r="G33" s="17"/>
      <c r="H33" s="18">
        <v>60</v>
      </c>
      <c r="I33" s="19">
        <f t="shared" si="2"/>
        <v>0</v>
      </c>
      <c r="K33" s="27"/>
    </row>
    <row r="34" spans="1:11">
      <c r="A34" s="14">
        <v>0</v>
      </c>
      <c r="B34" s="24">
        <v>6</v>
      </c>
      <c r="C34" s="15" t="s">
        <v>21</v>
      </c>
      <c r="D34" s="21">
        <v>5</v>
      </c>
      <c r="E34" s="16">
        <f t="shared" si="0"/>
        <v>0</v>
      </c>
      <c r="F34" s="17">
        <f t="shared" si="1"/>
        <v>0</v>
      </c>
      <c r="G34" s="17"/>
      <c r="H34" s="18">
        <v>67</v>
      </c>
      <c r="I34" s="19">
        <f t="shared" si="2"/>
        <v>0</v>
      </c>
      <c r="K34" s="27"/>
    </row>
    <row r="35" spans="1:11">
      <c r="A35" s="14">
        <v>0</v>
      </c>
      <c r="B35" s="24">
        <v>8</v>
      </c>
      <c r="C35" s="15" t="s">
        <v>13</v>
      </c>
      <c r="D35" s="21">
        <v>5</v>
      </c>
      <c r="E35" s="16">
        <f t="shared" si="0"/>
        <v>0</v>
      </c>
      <c r="F35" s="17">
        <f t="shared" si="1"/>
        <v>0</v>
      </c>
      <c r="G35" s="17"/>
      <c r="H35" s="18">
        <v>77.5</v>
      </c>
      <c r="I35" s="19">
        <f t="shared" si="2"/>
        <v>0</v>
      </c>
      <c r="K35" s="27"/>
    </row>
    <row r="36" spans="1:11">
      <c r="A36" s="14">
        <v>0</v>
      </c>
      <c r="B36" s="24">
        <v>8</v>
      </c>
      <c r="C36" s="15" t="s">
        <v>21</v>
      </c>
      <c r="D36" s="21">
        <v>5.9</v>
      </c>
      <c r="E36" s="16">
        <f t="shared" si="0"/>
        <v>0</v>
      </c>
      <c r="F36" s="17">
        <f t="shared" si="1"/>
        <v>0</v>
      </c>
      <c r="G36" s="17"/>
      <c r="H36" s="18">
        <v>89.5</v>
      </c>
      <c r="I36" s="19">
        <f t="shared" si="2"/>
        <v>0</v>
      </c>
      <c r="K36" s="27"/>
    </row>
    <row r="37" spans="1:11">
      <c r="A37" s="14">
        <v>0</v>
      </c>
      <c r="B37" s="24">
        <v>10</v>
      </c>
      <c r="C37" s="15" t="s">
        <v>13</v>
      </c>
      <c r="D37" s="21">
        <v>6</v>
      </c>
      <c r="E37" s="16">
        <f t="shared" si="0"/>
        <v>0</v>
      </c>
      <c r="F37" s="17">
        <f t="shared" si="1"/>
        <v>0</v>
      </c>
      <c r="G37" s="17"/>
      <c r="H37" s="18">
        <v>106</v>
      </c>
      <c r="I37" s="19">
        <f t="shared" si="2"/>
        <v>0</v>
      </c>
      <c r="K37" s="27"/>
    </row>
    <row r="38" spans="1:11">
      <c r="A38" s="14">
        <v>0</v>
      </c>
      <c r="B38" s="24">
        <v>10</v>
      </c>
      <c r="C38" s="15" t="s">
        <v>21</v>
      </c>
      <c r="D38" s="21">
        <v>6.5</v>
      </c>
      <c r="E38" s="16">
        <f t="shared" si="0"/>
        <v>0</v>
      </c>
      <c r="F38" s="17">
        <f t="shared" si="1"/>
        <v>0</v>
      </c>
      <c r="G38" s="17"/>
      <c r="H38" s="18">
        <v>113</v>
      </c>
      <c r="I38" s="19">
        <f t="shared" si="2"/>
        <v>0</v>
      </c>
      <c r="K38" s="27"/>
    </row>
    <row r="39" spans="1:11">
      <c r="A39" s="14">
        <v>0</v>
      </c>
      <c r="B39" s="24">
        <v>12</v>
      </c>
      <c r="C39" s="15" t="s">
        <v>13</v>
      </c>
      <c r="D39" s="21">
        <v>6.5</v>
      </c>
      <c r="E39" s="16">
        <f t="shared" si="0"/>
        <v>0</v>
      </c>
      <c r="F39" s="17">
        <f t="shared" si="1"/>
        <v>0</v>
      </c>
      <c r="G39" s="17"/>
      <c r="H39" s="18">
        <v>123</v>
      </c>
      <c r="I39" s="19">
        <f t="shared" si="2"/>
        <v>0</v>
      </c>
      <c r="K39" s="27"/>
    </row>
    <row r="40" spans="1:11">
      <c r="A40" s="14">
        <v>0</v>
      </c>
      <c r="B40" s="24">
        <v>12</v>
      </c>
      <c r="C40" s="15" t="s">
        <v>21</v>
      </c>
      <c r="D40" s="21">
        <v>7.4</v>
      </c>
      <c r="E40" s="16">
        <f t="shared" si="0"/>
        <v>0</v>
      </c>
      <c r="F40" s="17">
        <f t="shared" si="1"/>
        <v>0</v>
      </c>
      <c r="G40" s="17"/>
      <c r="H40" s="18">
        <v>132</v>
      </c>
      <c r="I40" s="19">
        <f t="shared" si="2"/>
        <v>0</v>
      </c>
      <c r="K40" s="27"/>
    </row>
    <row r="41" spans="1:11">
      <c r="A41" s="14">
        <v>0</v>
      </c>
      <c r="B41" s="24">
        <v>16</v>
      </c>
      <c r="C41" s="15" t="s">
        <v>13</v>
      </c>
      <c r="D41" s="21">
        <v>7.2</v>
      </c>
      <c r="E41" s="16">
        <f t="shared" si="0"/>
        <v>0</v>
      </c>
      <c r="F41" s="17">
        <f t="shared" si="1"/>
        <v>0</v>
      </c>
      <c r="G41" s="17"/>
      <c r="H41" s="18">
        <v>165</v>
      </c>
      <c r="I41" s="19">
        <f t="shared" si="2"/>
        <v>0</v>
      </c>
      <c r="K41" s="27"/>
    </row>
    <row r="42" spans="1:11">
      <c r="A42" s="14">
        <v>0</v>
      </c>
      <c r="B42" s="24">
        <v>16</v>
      </c>
      <c r="C42" s="15" t="s">
        <v>21</v>
      </c>
      <c r="D42" s="21">
        <v>8.3</v>
      </c>
      <c r="E42" s="16">
        <f t="shared" si="0"/>
        <v>0</v>
      </c>
      <c r="F42" s="17">
        <f t="shared" si="1"/>
        <v>0</v>
      </c>
      <c r="G42" s="17"/>
      <c r="H42" s="18">
        <v>183</v>
      </c>
      <c r="I42" s="19">
        <f t="shared" si="2"/>
        <v>0</v>
      </c>
      <c r="K42" s="27"/>
    </row>
    <row r="43" spans="1:11">
      <c r="A43" s="14">
        <v>0</v>
      </c>
      <c r="B43" s="24">
        <v>20</v>
      </c>
      <c r="C43" s="15" t="s">
        <v>13</v>
      </c>
      <c r="D43" s="21">
        <v>7.8</v>
      </c>
      <c r="E43" s="16">
        <f t="shared" si="0"/>
        <v>0</v>
      </c>
      <c r="F43" s="17">
        <f t="shared" si="1"/>
        <v>0</v>
      </c>
      <c r="G43" s="17"/>
      <c r="H43" s="18">
        <v>189</v>
      </c>
      <c r="I43" s="19">
        <f t="shared" si="2"/>
        <v>0</v>
      </c>
      <c r="K43" s="27"/>
    </row>
    <row r="44" spans="1:11">
      <c r="A44" s="14">
        <v>0</v>
      </c>
      <c r="B44" s="24">
        <v>20</v>
      </c>
      <c r="C44" s="15" t="s">
        <v>21</v>
      </c>
      <c r="D44" s="21">
        <v>9.1</v>
      </c>
      <c r="E44" s="16">
        <f t="shared" si="0"/>
        <v>0</v>
      </c>
      <c r="F44" s="17">
        <f t="shared" si="1"/>
        <v>0</v>
      </c>
      <c r="G44" s="17"/>
      <c r="H44" s="18">
        <v>202</v>
      </c>
      <c r="I44" s="19">
        <f t="shared" si="2"/>
        <v>0</v>
      </c>
      <c r="K44" s="27"/>
    </row>
    <row r="45" spans="1:11">
      <c r="A45" s="14">
        <v>0</v>
      </c>
      <c r="B45" s="24">
        <v>25</v>
      </c>
      <c r="C45" s="15" t="s">
        <v>13</v>
      </c>
      <c r="D45" s="21">
        <v>8.7</v>
      </c>
      <c r="E45" s="16">
        <f t="shared" si="0"/>
        <v>0</v>
      </c>
      <c r="F45" s="17">
        <f t="shared" si="1"/>
        <v>0</v>
      </c>
      <c r="G45" s="17"/>
      <c r="H45" s="18">
        <v>250</v>
      </c>
      <c r="I45" s="19">
        <f t="shared" si="2"/>
        <v>0</v>
      </c>
      <c r="K45" s="27"/>
    </row>
    <row r="46" spans="1:11">
      <c r="A46" s="14">
        <v>0</v>
      </c>
      <c r="B46" s="24">
        <v>25</v>
      </c>
      <c r="C46" s="15" t="s">
        <v>21</v>
      </c>
      <c r="D46" s="21">
        <v>10.4</v>
      </c>
      <c r="E46" s="16">
        <f t="shared" si="0"/>
        <v>0</v>
      </c>
      <c r="F46" s="17">
        <f t="shared" si="1"/>
        <v>0</v>
      </c>
      <c r="G46" s="17"/>
      <c r="H46" s="18">
        <v>270</v>
      </c>
      <c r="I46" s="19">
        <f t="shared" si="2"/>
        <v>0</v>
      </c>
      <c r="K46" s="27"/>
    </row>
    <row r="47" spans="1:11">
      <c r="A47" s="14">
        <v>0</v>
      </c>
      <c r="B47" s="24">
        <v>30</v>
      </c>
      <c r="C47" s="15" t="s">
        <v>13</v>
      </c>
      <c r="D47" s="21">
        <v>9.6</v>
      </c>
      <c r="E47" s="16">
        <f t="shared" si="0"/>
        <v>0</v>
      </c>
      <c r="F47" s="17">
        <f t="shared" si="1"/>
        <v>0</v>
      </c>
      <c r="G47" s="17"/>
      <c r="H47" s="18">
        <v>285</v>
      </c>
      <c r="I47" s="19">
        <f t="shared" si="2"/>
        <v>0</v>
      </c>
      <c r="K47" s="27"/>
    </row>
    <row r="48" spans="1:11">
      <c r="A48" s="14">
        <v>0</v>
      </c>
      <c r="B48" s="24">
        <v>30</v>
      </c>
      <c r="C48" s="15" t="s">
        <v>21</v>
      </c>
      <c r="D48" s="21">
        <v>10.9</v>
      </c>
      <c r="E48" s="16">
        <f t="shared" si="0"/>
        <v>0</v>
      </c>
      <c r="F48" s="17">
        <f t="shared" si="1"/>
        <v>0</v>
      </c>
      <c r="G48" s="17"/>
      <c r="H48" s="18">
        <v>310</v>
      </c>
      <c r="I48" s="19">
        <f t="shared" si="2"/>
        <v>0</v>
      </c>
      <c r="K48" s="27"/>
    </row>
    <row r="49" spans="1:11">
      <c r="A49" s="14">
        <v>0</v>
      </c>
      <c r="B49" s="24">
        <v>35</v>
      </c>
      <c r="C49" s="15" t="s">
        <v>13</v>
      </c>
      <c r="D49" s="21">
        <v>10.4</v>
      </c>
      <c r="E49" s="16">
        <f t="shared" si="0"/>
        <v>0</v>
      </c>
      <c r="F49" s="17">
        <f t="shared" si="1"/>
        <v>0</v>
      </c>
      <c r="G49" s="17"/>
      <c r="H49" s="18">
        <v>353</v>
      </c>
      <c r="I49" s="19">
        <f t="shared" si="2"/>
        <v>0</v>
      </c>
      <c r="K49" s="27"/>
    </row>
    <row r="50" spans="1:11">
      <c r="A50" s="14">
        <v>0</v>
      </c>
      <c r="B50" s="24">
        <v>35</v>
      </c>
      <c r="C50" s="15" t="s">
        <v>21</v>
      </c>
      <c r="D50" s="21">
        <v>11.6</v>
      </c>
      <c r="E50" s="16">
        <f t="shared" si="0"/>
        <v>0</v>
      </c>
      <c r="F50" s="17">
        <f t="shared" si="1"/>
        <v>0</v>
      </c>
      <c r="G50" s="17"/>
      <c r="H50" s="18">
        <v>375</v>
      </c>
      <c r="I50" s="19">
        <f t="shared" si="2"/>
        <v>0</v>
      </c>
      <c r="K50" s="27"/>
    </row>
    <row r="51" spans="1:11">
      <c r="A51" s="14">
        <v>0</v>
      </c>
      <c r="B51" s="24">
        <v>40</v>
      </c>
      <c r="C51" s="15" t="s">
        <v>13</v>
      </c>
      <c r="D51" s="21">
        <v>11.1</v>
      </c>
      <c r="E51" s="16">
        <f t="shared" si="0"/>
        <v>0</v>
      </c>
      <c r="F51" s="17">
        <f t="shared" si="1"/>
        <v>0</v>
      </c>
      <c r="G51" s="17"/>
      <c r="H51" s="18">
        <v>378</v>
      </c>
      <c r="I51" s="19">
        <f t="shared" si="2"/>
        <v>0</v>
      </c>
      <c r="K51" s="27"/>
    </row>
    <row r="52" spans="1:11">
      <c r="A52" s="14">
        <v>0</v>
      </c>
      <c r="B52" s="24">
        <v>40</v>
      </c>
      <c r="C52" s="15" t="s">
        <v>21</v>
      </c>
      <c r="D52" s="21">
        <v>12.4</v>
      </c>
      <c r="E52" s="16">
        <f t="shared" si="0"/>
        <v>0</v>
      </c>
      <c r="F52" s="17">
        <f t="shared" si="1"/>
        <v>0</v>
      </c>
      <c r="G52" s="17"/>
      <c r="H52" s="18">
        <v>395</v>
      </c>
      <c r="I52" s="19">
        <f t="shared" si="2"/>
        <v>0</v>
      </c>
      <c r="K52" s="27"/>
    </row>
    <row r="53" spans="1:11">
      <c r="A53" s="14">
        <v>0</v>
      </c>
      <c r="B53" s="24">
        <v>50</v>
      </c>
      <c r="C53" s="15" t="s">
        <v>13</v>
      </c>
      <c r="D53" s="21">
        <v>12.2</v>
      </c>
      <c r="E53" s="16">
        <f t="shared" si="0"/>
        <v>0</v>
      </c>
      <c r="F53" s="17">
        <f t="shared" si="1"/>
        <v>0</v>
      </c>
      <c r="G53" s="17"/>
      <c r="H53" s="18"/>
      <c r="I53" s="19">
        <f t="shared" si="2"/>
        <v>0</v>
      </c>
      <c r="K53" s="27"/>
    </row>
    <row r="54" spans="1:11">
      <c r="A54" s="14">
        <v>0</v>
      </c>
      <c r="B54" s="24">
        <v>50</v>
      </c>
      <c r="C54" s="15" t="s">
        <v>21</v>
      </c>
      <c r="D54" s="21">
        <v>13.5</v>
      </c>
      <c r="E54" s="16">
        <f t="shared" si="0"/>
        <v>0</v>
      </c>
      <c r="F54" s="17">
        <f t="shared" si="1"/>
        <v>0</v>
      </c>
      <c r="G54" s="17"/>
      <c r="H54" s="18">
        <v>530</v>
      </c>
      <c r="I54" s="19">
        <f t="shared" si="2"/>
        <v>0</v>
      </c>
      <c r="K54" s="27"/>
    </row>
    <row r="55" spans="1:11">
      <c r="A55" s="14">
        <v>0</v>
      </c>
      <c r="B55" s="24">
        <v>60</v>
      </c>
      <c r="C55" s="15" t="s">
        <v>13</v>
      </c>
      <c r="D55" s="21">
        <v>13.3</v>
      </c>
      <c r="E55" s="16">
        <f t="shared" si="0"/>
        <v>0</v>
      </c>
      <c r="F55" s="17">
        <f t="shared" si="1"/>
        <v>0</v>
      </c>
      <c r="G55" s="17"/>
      <c r="H55" s="18"/>
      <c r="I55" s="19">
        <f t="shared" si="2"/>
        <v>0</v>
      </c>
      <c r="K55" s="27"/>
    </row>
    <row r="56" spans="1:11">
      <c r="A56" s="14">
        <v>0</v>
      </c>
      <c r="B56" s="24">
        <v>60</v>
      </c>
      <c r="C56" s="15" t="s">
        <v>21</v>
      </c>
      <c r="D56" s="21">
        <v>14.6</v>
      </c>
      <c r="E56" s="16">
        <f t="shared" si="0"/>
        <v>0</v>
      </c>
      <c r="F56" s="17">
        <f t="shared" si="1"/>
        <v>0</v>
      </c>
      <c r="G56" s="17"/>
      <c r="H56" s="18"/>
      <c r="I56" s="19">
        <f t="shared" si="2"/>
        <v>0</v>
      </c>
      <c r="K56" s="27"/>
    </row>
    <row r="57" spans="1:11">
      <c r="A57" s="14">
        <v>0</v>
      </c>
      <c r="B57" s="24">
        <v>70</v>
      </c>
      <c r="C57" s="15" t="s">
        <v>13</v>
      </c>
      <c r="D57" s="21">
        <v>14.4</v>
      </c>
      <c r="E57" s="16">
        <f t="shared" si="0"/>
        <v>0</v>
      </c>
      <c r="F57" s="17">
        <f t="shared" si="1"/>
        <v>0</v>
      </c>
      <c r="G57" s="17"/>
      <c r="H57" s="18"/>
      <c r="I57" s="19">
        <f t="shared" si="2"/>
        <v>0</v>
      </c>
      <c r="K57" s="27"/>
    </row>
    <row r="58" spans="1:11">
      <c r="A58" s="14">
        <v>0</v>
      </c>
      <c r="B58" s="24">
        <v>70</v>
      </c>
      <c r="C58" s="15" t="s">
        <v>21</v>
      </c>
      <c r="D58" s="21">
        <v>15.5</v>
      </c>
      <c r="E58" s="16">
        <f t="shared" si="0"/>
        <v>0</v>
      </c>
      <c r="F58" s="17">
        <f t="shared" si="1"/>
        <v>0</v>
      </c>
      <c r="G58" s="17"/>
      <c r="H58" s="18">
        <v>717</v>
      </c>
      <c r="I58" s="19">
        <f t="shared" si="2"/>
        <v>0</v>
      </c>
      <c r="K58" s="27"/>
    </row>
    <row r="59" spans="1:11">
      <c r="A59" s="14">
        <v>0</v>
      </c>
      <c r="B59" s="24">
        <v>95</v>
      </c>
      <c r="C59" s="15" t="s">
        <v>13</v>
      </c>
      <c r="D59" s="21">
        <v>16.7</v>
      </c>
      <c r="E59" s="16">
        <f t="shared" si="0"/>
        <v>0</v>
      </c>
      <c r="F59" s="17">
        <f t="shared" si="1"/>
        <v>0</v>
      </c>
      <c r="G59" s="17"/>
      <c r="H59" s="18"/>
      <c r="I59" s="19">
        <f t="shared" si="2"/>
        <v>0</v>
      </c>
      <c r="K59" s="27"/>
    </row>
    <row r="60" spans="1:11">
      <c r="A60" s="14">
        <v>0</v>
      </c>
      <c r="B60" s="24">
        <v>95</v>
      </c>
      <c r="C60" s="15" t="s">
        <v>21</v>
      </c>
      <c r="D60" s="21">
        <v>18</v>
      </c>
      <c r="E60" s="16">
        <f t="shared" si="0"/>
        <v>0</v>
      </c>
      <c r="F60" s="17">
        <f t="shared" si="1"/>
        <v>0</v>
      </c>
      <c r="G60" s="17"/>
      <c r="H60" s="18">
        <v>987</v>
      </c>
      <c r="I60" s="19">
        <f t="shared" si="2"/>
        <v>0</v>
      </c>
      <c r="K60" s="27"/>
    </row>
    <row r="61" spans="1:11">
      <c r="A61" s="14">
        <v>0</v>
      </c>
      <c r="B61" s="24">
        <v>120</v>
      </c>
      <c r="C61" s="15" t="s">
        <v>21</v>
      </c>
      <c r="D61" s="21">
        <v>19.7</v>
      </c>
      <c r="E61" s="16">
        <f t="shared" si="0"/>
        <v>0</v>
      </c>
      <c r="F61" s="17">
        <f t="shared" si="1"/>
        <v>0</v>
      </c>
      <c r="G61" s="17"/>
      <c r="H61" s="18">
        <v>1246</v>
      </c>
      <c r="I61" s="19">
        <f t="shared" si="2"/>
        <v>0</v>
      </c>
      <c r="K61" s="27"/>
    </row>
    <row r="62" ht="13" spans="1:11">
      <c r="A62" s="14">
        <v>0</v>
      </c>
      <c r="B62" s="24">
        <v>0.13</v>
      </c>
      <c r="C62" s="15" t="s">
        <v>13</v>
      </c>
      <c r="D62" s="21">
        <v>0.95</v>
      </c>
      <c r="E62" s="21">
        <f t="shared" si="0"/>
        <v>0</v>
      </c>
      <c r="F62" s="17">
        <f t="shared" si="1"/>
        <v>0</v>
      </c>
      <c r="G62" s="17"/>
      <c r="H62" s="18"/>
      <c r="I62" s="19">
        <f t="shared" si="2"/>
        <v>0</v>
      </c>
      <c r="J62" s="26" t="s">
        <v>28</v>
      </c>
      <c r="K62" s="33" t="s">
        <v>29</v>
      </c>
    </row>
    <row r="63" spans="1:11">
      <c r="A63" s="14">
        <v>0</v>
      </c>
      <c r="B63" s="24">
        <v>0.22</v>
      </c>
      <c r="C63" s="15" t="s">
        <v>13</v>
      </c>
      <c r="D63" s="21">
        <v>1.05</v>
      </c>
      <c r="E63" s="21">
        <f t="shared" ref="E63:E126" si="3">D63*A63</f>
        <v>0</v>
      </c>
      <c r="F63" s="17">
        <f t="shared" si="1"/>
        <v>0</v>
      </c>
      <c r="G63" s="17"/>
      <c r="H63" s="18">
        <v>2.7</v>
      </c>
      <c r="I63" s="19">
        <f t="shared" si="2"/>
        <v>0</v>
      </c>
      <c r="J63" s="26" t="s">
        <v>30</v>
      </c>
      <c r="K63" s="27"/>
    </row>
    <row r="64" spans="1:11">
      <c r="A64" s="14">
        <v>0</v>
      </c>
      <c r="B64" s="24">
        <v>0.22</v>
      </c>
      <c r="C64" s="15" t="s">
        <v>13</v>
      </c>
      <c r="D64" s="21">
        <v>1.1</v>
      </c>
      <c r="E64" s="21">
        <f t="shared" si="3"/>
        <v>0</v>
      </c>
      <c r="F64" s="17">
        <f t="shared" si="1"/>
        <v>0</v>
      </c>
      <c r="G64" s="17"/>
      <c r="H64" s="18">
        <v>2.8</v>
      </c>
      <c r="I64" s="19">
        <f t="shared" si="2"/>
        <v>0</v>
      </c>
      <c r="J64" s="26" t="s">
        <v>31</v>
      </c>
      <c r="K64" s="27"/>
    </row>
    <row r="65" spans="1:11">
      <c r="A65" s="14">
        <v>0</v>
      </c>
      <c r="B65" s="24">
        <v>0.22</v>
      </c>
      <c r="C65" s="15" t="s">
        <v>13</v>
      </c>
      <c r="D65" s="21">
        <v>1.3</v>
      </c>
      <c r="E65" s="21">
        <f t="shared" si="3"/>
        <v>0</v>
      </c>
      <c r="F65" s="17">
        <f t="shared" si="1"/>
        <v>0</v>
      </c>
      <c r="G65" s="17"/>
      <c r="H65" s="18">
        <v>3.3</v>
      </c>
      <c r="I65" s="19">
        <f t="shared" si="2"/>
        <v>0</v>
      </c>
      <c r="J65" s="26" t="s">
        <v>32</v>
      </c>
      <c r="K65" s="27"/>
    </row>
    <row r="66" spans="1:11">
      <c r="A66" s="14">
        <v>0</v>
      </c>
      <c r="B66" s="24">
        <v>0.3</v>
      </c>
      <c r="C66" s="15" t="s">
        <v>13</v>
      </c>
      <c r="D66" s="21">
        <v>1.2</v>
      </c>
      <c r="E66" s="21">
        <f t="shared" si="3"/>
        <v>0</v>
      </c>
      <c r="F66" s="17">
        <f t="shared" si="1"/>
        <v>0</v>
      </c>
      <c r="G66" s="17"/>
      <c r="H66" s="18">
        <v>4.11</v>
      </c>
      <c r="I66" s="19">
        <f t="shared" si="2"/>
        <v>0</v>
      </c>
      <c r="J66" s="26" t="s">
        <v>33</v>
      </c>
      <c r="K66" s="27"/>
    </row>
    <row r="67" spans="1:11">
      <c r="A67" s="14">
        <v>0</v>
      </c>
      <c r="B67" s="24" t="s">
        <v>34</v>
      </c>
      <c r="C67" s="15" t="s">
        <v>13</v>
      </c>
      <c r="D67" s="21">
        <v>1.5</v>
      </c>
      <c r="E67" s="21">
        <f t="shared" si="3"/>
        <v>0</v>
      </c>
      <c r="F67" s="17">
        <f t="shared" si="1"/>
        <v>0</v>
      </c>
      <c r="G67" s="17"/>
      <c r="H67" s="18">
        <v>6.9</v>
      </c>
      <c r="I67" s="19">
        <f t="shared" si="2"/>
        <v>0</v>
      </c>
      <c r="J67" s="26" t="s">
        <v>35</v>
      </c>
      <c r="K67" s="27"/>
    </row>
    <row r="68" spans="1:11">
      <c r="A68" s="14">
        <v>0</v>
      </c>
      <c r="B68" s="24" t="s">
        <v>34</v>
      </c>
      <c r="C68" s="15" t="s">
        <v>13</v>
      </c>
      <c r="D68" s="21">
        <v>1.9</v>
      </c>
      <c r="E68" s="21">
        <f t="shared" si="3"/>
        <v>0</v>
      </c>
      <c r="F68" s="17">
        <f t="shared" ref="F68:F131" si="4">A68*(((D68/2)^2)*3.1415927)</f>
        <v>0</v>
      </c>
      <c r="G68" s="17"/>
      <c r="H68" s="18">
        <v>6.2</v>
      </c>
      <c r="I68" s="19">
        <f t="shared" ref="I68:I131" si="5">IF(A68&lt;&gt;0,(G68*H68)/1000,0)</f>
        <v>0</v>
      </c>
      <c r="J68" s="26" t="s">
        <v>36</v>
      </c>
      <c r="K68" s="27"/>
    </row>
    <row r="69" spans="1:11">
      <c r="A69" s="14">
        <v>0</v>
      </c>
      <c r="B69" s="24">
        <v>0.35</v>
      </c>
      <c r="C69" s="15" t="s">
        <v>13</v>
      </c>
      <c r="D69" s="21">
        <v>1.2</v>
      </c>
      <c r="E69" s="21">
        <f t="shared" si="3"/>
        <v>0</v>
      </c>
      <c r="F69" s="17">
        <f t="shared" si="4"/>
        <v>0</v>
      </c>
      <c r="G69" s="17"/>
      <c r="H69" s="18">
        <v>3.97</v>
      </c>
      <c r="I69" s="19">
        <f t="shared" si="5"/>
        <v>0</v>
      </c>
      <c r="J69" s="26" t="s">
        <v>28</v>
      </c>
      <c r="K69" s="27"/>
    </row>
    <row r="70" spans="1:11">
      <c r="A70" s="14">
        <v>0</v>
      </c>
      <c r="B70" s="24" t="s">
        <v>37</v>
      </c>
      <c r="C70" s="15" t="s">
        <v>13</v>
      </c>
      <c r="D70" s="21">
        <v>1.4</v>
      </c>
      <c r="E70" s="21">
        <f t="shared" si="3"/>
        <v>0</v>
      </c>
      <c r="F70" s="17">
        <f t="shared" si="4"/>
        <v>0</v>
      </c>
      <c r="G70" s="17"/>
      <c r="H70" s="18"/>
      <c r="I70" s="19">
        <f t="shared" si="5"/>
        <v>0</v>
      </c>
      <c r="J70" s="26" t="s">
        <v>38</v>
      </c>
      <c r="K70" s="27"/>
    </row>
    <row r="71" spans="1:11">
      <c r="A71" s="14">
        <v>0</v>
      </c>
      <c r="B71" s="24">
        <v>0.5</v>
      </c>
      <c r="C71" s="15" t="s">
        <v>13</v>
      </c>
      <c r="D71" s="21">
        <v>1.4</v>
      </c>
      <c r="E71" s="21">
        <f t="shared" si="3"/>
        <v>0</v>
      </c>
      <c r="F71" s="17">
        <f t="shared" si="4"/>
        <v>0</v>
      </c>
      <c r="G71" s="17"/>
      <c r="H71" s="18">
        <v>6.11</v>
      </c>
      <c r="I71" s="19">
        <f t="shared" si="5"/>
        <v>0</v>
      </c>
      <c r="J71" s="26" t="s">
        <v>39</v>
      </c>
      <c r="K71" s="27"/>
    </row>
    <row r="72" spans="1:11">
      <c r="A72" s="14">
        <v>0</v>
      </c>
      <c r="B72" s="24" t="s">
        <v>40</v>
      </c>
      <c r="C72" s="15" t="s">
        <v>13</v>
      </c>
      <c r="D72" s="21">
        <v>1.5</v>
      </c>
      <c r="E72" s="21">
        <f t="shared" si="3"/>
        <v>0</v>
      </c>
      <c r="F72" s="17">
        <f t="shared" si="4"/>
        <v>0</v>
      </c>
      <c r="G72" s="17"/>
      <c r="H72" s="18">
        <v>6.8</v>
      </c>
      <c r="I72" s="19">
        <f t="shared" si="5"/>
        <v>0</v>
      </c>
      <c r="J72" s="26" t="s">
        <v>41</v>
      </c>
      <c r="K72" s="27"/>
    </row>
    <row r="73" spans="1:11">
      <c r="A73" s="14">
        <v>0</v>
      </c>
      <c r="B73" s="24" t="s">
        <v>42</v>
      </c>
      <c r="C73" s="15" t="s">
        <v>13</v>
      </c>
      <c r="D73" s="21">
        <v>1.7</v>
      </c>
      <c r="E73" s="21">
        <f t="shared" si="3"/>
        <v>0</v>
      </c>
      <c r="F73" s="17">
        <f t="shared" si="4"/>
        <v>0</v>
      </c>
      <c r="G73" s="17"/>
      <c r="H73" s="18">
        <v>6.9</v>
      </c>
      <c r="I73" s="19">
        <f t="shared" si="5"/>
        <v>0</v>
      </c>
      <c r="J73" s="26" t="s">
        <v>43</v>
      </c>
      <c r="K73" s="27"/>
    </row>
    <row r="74" spans="1:11">
      <c r="A74" s="14">
        <v>0</v>
      </c>
      <c r="B74" s="24" t="s">
        <v>42</v>
      </c>
      <c r="C74" s="15" t="s">
        <v>13</v>
      </c>
      <c r="D74" s="21">
        <v>2.1</v>
      </c>
      <c r="E74" s="21">
        <f t="shared" si="3"/>
        <v>0</v>
      </c>
      <c r="F74" s="17">
        <f t="shared" si="4"/>
        <v>0</v>
      </c>
      <c r="G74" s="17"/>
      <c r="H74" s="18">
        <v>7.9</v>
      </c>
      <c r="I74" s="19">
        <f t="shared" si="5"/>
        <v>0</v>
      </c>
      <c r="J74" s="26" t="s">
        <v>36</v>
      </c>
      <c r="K74" s="27"/>
    </row>
    <row r="75" spans="1:11">
      <c r="A75" s="14">
        <v>0</v>
      </c>
      <c r="B75" s="24" t="s">
        <v>42</v>
      </c>
      <c r="C75" s="15" t="s">
        <v>21</v>
      </c>
      <c r="D75" s="21">
        <v>2.2</v>
      </c>
      <c r="E75" s="21">
        <f t="shared" si="3"/>
        <v>0</v>
      </c>
      <c r="F75" s="17">
        <f t="shared" si="4"/>
        <v>0</v>
      </c>
      <c r="G75" s="17"/>
      <c r="H75" s="18">
        <v>8.3</v>
      </c>
      <c r="I75" s="19">
        <f t="shared" si="5"/>
        <v>0</v>
      </c>
      <c r="J75" s="34" t="s">
        <v>44</v>
      </c>
      <c r="K75" s="27"/>
    </row>
    <row r="76" spans="1:11">
      <c r="A76" s="14">
        <v>0</v>
      </c>
      <c r="B76" s="24">
        <v>0.75</v>
      </c>
      <c r="C76" s="15" t="s">
        <v>13</v>
      </c>
      <c r="D76" s="21">
        <v>1.6</v>
      </c>
      <c r="E76" s="21">
        <f t="shared" si="3"/>
        <v>0</v>
      </c>
      <c r="F76" s="17">
        <f t="shared" si="4"/>
        <v>0</v>
      </c>
      <c r="G76" s="17"/>
      <c r="H76" s="18"/>
      <c r="I76" s="19">
        <f t="shared" si="5"/>
        <v>0</v>
      </c>
      <c r="J76" s="26" t="s">
        <v>28</v>
      </c>
      <c r="K76" s="27"/>
    </row>
    <row r="77" spans="1:11">
      <c r="A77" s="14">
        <v>0</v>
      </c>
      <c r="B77" s="24" t="s">
        <v>45</v>
      </c>
      <c r="C77" s="15" t="s">
        <v>13</v>
      </c>
      <c r="D77" s="21">
        <v>1.7</v>
      </c>
      <c r="E77" s="21">
        <f t="shared" si="3"/>
        <v>0</v>
      </c>
      <c r="F77" s="17">
        <f t="shared" si="4"/>
        <v>0</v>
      </c>
      <c r="G77" s="17"/>
      <c r="H77" s="18">
        <v>9.6</v>
      </c>
      <c r="I77" s="19">
        <f t="shared" si="5"/>
        <v>0</v>
      </c>
      <c r="J77" s="26" t="s">
        <v>46</v>
      </c>
      <c r="K77" s="27"/>
    </row>
    <row r="78" spans="1:11">
      <c r="A78" s="14">
        <v>0</v>
      </c>
      <c r="B78" s="24" t="s">
        <v>47</v>
      </c>
      <c r="C78" s="15" t="s">
        <v>13</v>
      </c>
      <c r="D78" s="21">
        <v>1.9</v>
      </c>
      <c r="E78" s="21">
        <f t="shared" si="3"/>
        <v>0</v>
      </c>
      <c r="F78" s="17">
        <f t="shared" si="4"/>
        <v>0</v>
      </c>
      <c r="G78" s="17"/>
      <c r="H78" s="18">
        <v>9.6</v>
      </c>
      <c r="I78" s="19">
        <f t="shared" si="5"/>
        <v>0</v>
      </c>
      <c r="J78" s="26" t="s">
        <v>43</v>
      </c>
      <c r="K78" s="27"/>
    </row>
    <row r="79" spans="1:11">
      <c r="A79" s="14">
        <v>0</v>
      </c>
      <c r="B79" s="24" t="s">
        <v>45</v>
      </c>
      <c r="C79" s="15" t="s">
        <v>13</v>
      </c>
      <c r="D79" s="21">
        <v>2.3</v>
      </c>
      <c r="E79" s="21">
        <f t="shared" si="3"/>
        <v>0</v>
      </c>
      <c r="F79" s="17">
        <f t="shared" si="4"/>
        <v>0</v>
      </c>
      <c r="G79" s="17"/>
      <c r="H79" s="18">
        <v>10.6</v>
      </c>
      <c r="I79" s="19">
        <f t="shared" si="5"/>
        <v>0</v>
      </c>
      <c r="J79" s="26" t="s">
        <v>36</v>
      </c>
      <c r="K79" s="27"/>
    </row>
    <row r="80" spans="1:11">
      <c r="A80" s="14">
        <v>0</v>
      </c>
      <c r="B80" s="24" t="s">
        <v>45</v>
      </c>
      <c r="C80" s="15" t="s">
        <v>21</v>
      </c>
      <c r="D80" s="21">
        <v>2.4</v>
      </c>
      <c r="E80" s="21">
        <f t="shared" si="3"/>
        <v>0</v>
      </c>
      <c r="F80" s="17">
        <f t="shared" si="4"/>
        <v>0</v>
      </c>
      <c r="G80" s="17"/>
      <c r="H80" s="18">
        <v>11.1</v>
      </c>
      <c r="I80" s="19">
        <f t="shared" si="5"/>
        <v>0</v>
      </c>
      <c r="J80" s="34" t="s">
        <v>44</v>
      </c>
      <c r="K80" s="27"/>
    </row>
    <row r="81" spans="1:11">
      <c r="A81" s="14">
        <v>0</v>
      </c>
      <c r="B81" s="24">
        <v>0.85</v>
      </c>
      <c r="C81" s="15" t="s">
        <v>13</v>
      </c>
      <c r="D81" s="21">
        <v>1.6</v>
      </c>
      <c r="E81" s="21">
        <f t="shared" si="3"/>
        <v>0</v>
      </c>
      <c r="F81" s="17">
        <f t="shared" si="4"/>
        <v>0</v>
      </c>
      <c r="G81" s="17"/>
      <c r="H81" s="18">
        <v>9</v>
      </c>
      <c r="I81" s="19">
        <f t="shared" si="5"/>
        <v>0</v>
      </c>
      <c r="J81" s="26" t="s">
        <v>33</v>
      </c>
      <c r="K81" s="27"/>
    </row>
    <row r="82" spans="1:11">
      <c r="A82" s="14">
        <v>0</v>
      </c>
      <c r="B82" s="24">
        <v>0.85</v>
      </c>
      <c r="C82" s="15" t="s">
        <v>13</v>
      </c>
      <c r="D82" s="21">
        <v>1.9</v>
      </c>
      <c r="E82" s="21">
        <f t="shared" si="3"/>
        <v>0</v>
      </c>
      <c r="F82" s="17">
        <f t="shared" si="4"/>
        <v>0</v>
      </c>
      <c r="G82" s="17"/>
      <c r="H82" s="18">
        <v>9.7</v>
      </c>
      <c r="I82" s="19">
        <f t="shared" si="5"/>
        <v>0</v>
      </c>
      <c r="J82" s="26" t="s">
        <v>32</v>
      </c>
      <c r="K82" s="27"/>
    </row>
    <row r="83" spans="1:11">
      <c r="A83" s="14">
        <v>0</v>
      </c>
      <c r="B83" s="24">
        <v>0.85</v>
      </c>
      <c r="C83" s="15" t="s">
        <v>13</v>
      </c>
      <c r="D83" s="21">
        <v>2.3</v>
      </c>
      <c r="E83" s="21">
        <f t="shared" si="3"/>
        <v>0</v>
      </c>
      <c r="F83" s="17">
        <f t="shared" si="4"/>
        <v>0</v>
      </c>
      <c r="G83" s="17"/>
      <c r="H83" s="18">
        <v>11</v>
      </c>
      <c r="I83" s="19">
        <f t="shared" si="5"/>
        <v>0</v>
      </c>
      <c r="J83" s="26" t="s">
        <v>36</v>
      </c>
      <c r="K83" s="27"/>
    </row>
    <row r="84" spans="1:11">
      <c r="A84" s="14">
        <v>0</v>
      </c>
      <c r="B84" s="24">
        <v>0.85</v>
      </c>
      <c r="C84" s="15" t="s">
        <v>21</v>
      </c>
      <c r="D84" s="21">
        <v>2.4</v>
      </c>
      <c r="E84" s="21">
        <f t="shared" si="3"/>
        <v>0</v>
      </c>
      <c r="F84" s="17">
        <f t="shared" si="4"/>
        <v>0</v>
      </c>
      <c r="G84" s="17"/>
      <c r="H84" s="18">
        <v>11.8</v>
      </c>
      <c r="I84" s="19">
        <f t="shared" si="5"/>
        <v>0</v>
      </c>
      <c r="J84" s="34" t="s">
        <v>44</v>
      </c>
      <c r="K84" s="27"/>
    </row>
    <row r="85" spans="1:11">
      <c r="A85" s="14">
        <v>0</v>
      </c>
      <c r="B85" s="35">
        <v>1</v>
      </c>
      <c r="C85" s="15" t="s">
        <v>13</v>
      </c>
      <c r="D85" s="21">
        <v>1.75</v>
      </c>
      <c r="E85" s="21">
        <f t="shared" si="3"/>
        <v>0</v>
      </c>
      <c r="F85" s="17">
        <f t="shared" si="4"/>
        <v>0</v>
      </c>
      <c r="G85" s="17"/>
      <c r="H85" s="18"/>
      <c r="I85" s="19">
        <f t="shared" si="5"/>
        <v>0</v>
      </c>
      <c r="J85" s="26" t="s">
        <v>28</v>
      </c>
      <c r="K85" s="27"/>
    </row>
    <row r="86" spans="1:11">
      <c r="A86" s="14">
        <v>0</v>
      </c>
      <c r="B86" s="24" t="s">
        <v>48</v>
      </c>
      <c r="C86" s="15" t="s">
        <v>13</v>
      </c>
      <c r="D86" s="21">
        <v>2.1</v>
      </c>
      <c r="E86" s="21">
        <f t="shared" si="3"/>
        <v>0</v>
      </c>
      <c r="F86" s="17">
        <f t="shared" si="4"/>
        <v>0</v>
      </c>
      <c r="G86" s="17"/>
      <c r="H86" s="18"/>
      <c r="I86" s="19">
        <f t="shared" si="5"/>
        <v>0</v>
      </c>
      <c r="J86" s="26" t="s">
        <v>38</v>
      </c>
      <c r="K86" s="27"/>
    </row>
    <row r="87" spans="1:11">
      <c r="A87" s="14">
        <v>0</v>
      </c>
      <c r="B87" s="24">
        <v>1.25</v>
      </c>
      <c r="C87" s="15" t="s">
        <v>13</v>
      </c>
      <c r="D87" s="21">
        <v>1.9</v>
      </c>
      <c r="E87" s="21">
        <f t="shared" si="3"/>
        <v>0</v>
      </c>
      <c r="F87" s="17">
        <f t="shared" si="4"/>
        <v>0</v>
      </c>
      <c r="G87" s="17"/>
      <c r="H87" s="18">
        <v>14.5</v>
      </c>
      <c r="I87" s="19">
        <f t="shared" si="5"/>
        <v>0</v>
      </c>
      <c r="J87" s="26" t="s">
        <v>49</v>
      </c>
      <c r="K87" s="27"/>
    </row>
    <row r="88" spans="1:11">
      <c r="A88" s="14">
        <v>0</v>
      </c>
      <c r="B88" s="24">
        <v>1.25</v>
      </c>
      <c r="C88" s="15" t="s">
        <v>13</v>
      </c>
      <c r="D88" s="21">
        <v>2</v>
      </c>
      <c r="E88" s="21">
        <f t="shared" si="3"/>
        <v>0</v>
      </c>
      <c r="F88" s="17">
        <f t="shared" si="4"/>
        <v>0</v>
      </c>
      <c r="G88" s="17"/>
      <c r="H88" s="18"/>
      <c r="I88" s="19">
        <f t="shared" si="5"/>
        <v>0</v>
      </c>
      <c r="J88" s="26" t="s">
        <v>28</v>
      </c>
      <c r="K88" s="27"/>
    </row>
    <row r="89" spans="1:11">
      <c r="A89" s="14">
        <v>0</v>
      </c>
      <c r="B89" s="24" t="s">
        <v>50</v>
      </c>
      <c r="C89" s="15" t="s">
        <v>13</v>
      </c>
      <c r="D89" s="21">
        <v>2.3</v>
      </c>
      <c r="E89" s="21">
        <f t="shared" si="3"/>
        <v>0</v>
      </c>
      <c r="F89" s="17">
        <f t="shared" si="4"/>
        <v>0</v>
      </c>
      <c r="G89" s="17"/>
      <c r="H89" s="18"/>
      <c r="I89" s="19">
        <f t="shared" si="5"/>
        <v>0</v>
      </c>
      <c r="J89" s="26" t="s">
        <v>38</v>
      </c>
      <c r="K89" s="27"/>
    </row>
    <row r="90" spans="1:11">
      <c r="A90" s="14">
        <v>0</v>
      </c>
      <c r="B90" s="24" t="s">
        <v>51</v>
      </c>
      <c r="C90" s="15" t="s">
        <v>13</v>
      </c>
      <c r="D90" s="21">
        <v>2.2</v>
      </c>
      <c r="E90" s="21">
        <f t="shared" si="3"/>
        <v>0</v>
      </c>
      <c r="F90" s="17">
        <f t="shared" si="4"/>
        <v>0</v>
      </c>
      <c r="G90" s="17"/>
      <c r="H90" s="18">
        <v>14.6</v>
      </c>
      <c r="I90" s="19">
        <f t="shared" si="5"/>
        <v>0</v>
      </c>
      <c r="J90" s="26" t="s">
        <v>35</v>
      </c>
      <c r="K90" s="27"/>
    </row>
    <row r="91" spans="1:11">
      <c r="A91" s="14">
        <v>0</v>
      </c>
      <c r="B91" s="24" t="s">
        <v>51</v>
      </c>
      <c r="C91" s="15" t="s">
        <v>13</v>
      </c>
      <c r="D91" s="21">
        <v>2.6</v>
      </c>
      <c r="E91" s="21">
        <f t="shared" si="3"/>
        <v>0</v>
      </c>
      <c r="F91" s="17">
        <f t="shared" si="4"/>
        <v>0</v>
      </c>
      <c r="G91" s="17"/>
      <c r="H91" s="18">
        <v>16.3</v>
      </c>
      <c r="I91" s="19">
        <f t="shared" si="5"/>
        <v>0</v>
      </c>
      <c r="J91" s="26" t="s">
        <v>36</v>
      </c>
      <c r="K91" s="27"/>
    </row>
    <row r="92" spans="1:11">
      <c r="A92" s="14">
        <v>0</v>
      </c>
      <c r="B92" s="24" t="s">
        <v>51</v>
      </c>
      <c r="C92" s="15" t="s">
        <v>21</v>
      </c>
      <c r="D92" s="21">
        <v>2.9</v>
      </c>
      <c r="E92" s="21">
        <f t="shared" si="3"/>
        <v>0</v>
      </c>
      <c r="F92" s="17">
        <f t="shared" si="4"/>
        <v>0</v>
      </c>
      <c r="G92" s="17"/>
      <c r="H92" s="18">
        <v>11.9</v>
      </c>
      <c r="I92" s="19">
        <f t="shared" si="5"/>
        <v>0</v>
      </c>
      <c r="J92" s="36" t="s">
        <v>44</v>
      </c>
      <c r="K92" s="27"/>
    </row>
    <row r="93" spans="1:11">
      <c r="A93" s="14">
        <v>0</v>
      </c>
      <c r="B93" s="24">
        <v>1.5</v>
      </c>
      <c r="C93" s="15" t="s">
        <v>13</v>
      </c>
      <c r="D93" s="21">
        <v>2.1</v>
      </c>
      <c r="E93" s="21">
        <f t="shared" si="3"/>
        <v>0</v>
      </c>
      <c r="F93" s="17">
        <f t="shared" si="4"/>
        <v>0</v>
      </c>
      <c r="G93" s="17"/>
      <c r="H93" s="18"/>
      <c r="I93" s="19">
        <f t="shared" si="5"/>
        <v>0</v>
      </c>
      <c r="J93" s="26" t="s">
        <v>28</v>
      </c>
      <c r="K93" s="27"/>
    </row>
    <row r="94" spans="1:11">
      <c r="A94" s="14">
        <v>0</v>
      </c>
      <c r="B94" s="24" t="s">
        <v>52</v>
      </c>
      <c r="C94" s="15" t="s">
        <v>13</v>
      </c>
      <c r="D94" s="21">
        <v>2.4</v>
      </c>
      <c r="E94" s="21">
        <f t="shared" si="3"/>
        <v>0</v>
      </c>
      <c r="F94" s="17">
        <f t="shared" si="4"/>
        <v>0</v>
      </c>
      <c r="G94" s="17"/>
      <c r="H94" s="18">
        <v>23.9</v>
      </c>
      <c r="I94" s="19">
        <f t="shared" si="5"/>
        <v>0</v>
      </c>
      <c r="J94" s="26" t="s">
        <v>38</v>
      </c>
      <c r="K94" s="27"/>
    </row>
    <row r="95" spans="1:11">
      <c r="A95" s="14">
        <v>0</v>
      </c>
      <c r="B95" s="24" t="s">
        <v>53</v>
      </c>
      <c r="C95" s="15" t="s">
        <v>13</v>
      </c>
      <c r="D95" s="21">
        <v>2.2</v>
      </c>
      <c r="E95" s="21">
        <f t="shared" si="3"/>
        <v>0</v>
      </c>
      <c r="F95" s="17">
        <f t="shared" si="4"/>
        <v>0</v>
      </c>
      <c r="G95" s="17"/>
      <c r="H95" s="18">
        <v>22.3</v>
      </c>
      <c r="I95" s="19">
        <f t="shared" si="5"/>
        <v>0</v>
      </c>
      <c r="J95" s="26" t="s">
        <v>54</v>
      </c>
      <c r="K95" s="27"/>
    </row>
    <row r="96" spans="1:11">
      <c r="A96" s="14">
        <v>0</v>
      </c>
      <c r="B96" s="24" t="s">
        <v>53</v>
      </c>
      <c r="C96" s="15" t="s">
        <v>13</v>
      </c>
      <c r="D96" s="21">
        <v>2.7</v>
      </c>
      <c r="E96" s="21">
        <f t="shared" si="3"/>
        <v>0</v>
      </c>
      <c r="F96" s="17">
        <f t="shared" si="4"/>
        <v>0</v>
      </c>
      <c r="G96" s="17"/>
      <c r="H96" s="18">
        <v>22.3</v>
      </c>
      <c r="I96" s="19">
        <f t="shared" si="5"/>
        <v>0</v>
      </c>
      <c r="J96" s="26" t="s">
        <v>35</v>
      </c>
      <c r="K96" s="27"/>
    </row>
    <row r="97" spans="1:11">
      <c r="A97" s="14">
        <v>0</v>
      </c>
      <c r="B97" s="24" t="s">
        <v>55</v>
      </c>
      <c r="C97" s="15" t="s">
        <v>13</v>
      </c>
      <c r="D97" s="21">
        <v>2.8</v>
      </c>
      <c r="E97" s="21">
        <f t="shared" si="3"/>
        <v>0</v>
      </c>
      <c r="F97" s="17">
        <f t="shared" si="4"/>
        <v>0</v>
      </c>
      <c r="G97" s="17"/>
      <c r="H97" s="18">
        <v>23</v>
      </c>
      <c r="I97" s="19">
        <f t="shared" si="5"/>
        <v>0</v>
      </c>
      <c r="J97" s="26" t="s">
        <v>56</v>
      </c>
      <c r="K97" s="27"/>
    </row>
    <row r="98" spans="1:11">
      <c r="A98" s="14">
        <v>0</v>
      </c>
      <c r="B98" s="37" t="s">
        <v>55</v>
      </c>
      <c r="C98" s="38" t="s">
        <v>13</v>
      </c>
      <c r="D98" s="39">
        <v>3.1</v>
      </c>
      <c r="E98" s="21">
        <f t="shared" si="3"/>
        <v>0</v>
      </c>
      <c r="F98" s="17">
        <f t="shared" si="4"/>
        <v>0</v>
      </c>
      <c r="G98" s="17"/>
      <c r="H98" s="18">
        <v>24.7</v>
      </c>
      <c r="I98" s="19">
        <f t="shared" si="5"/>
        <v>0</v>
      </c>
      <c r="J98" s="26" t="s">
        <v>36</v>
      </c>
      <c r="K98" s="27"/>
    </row>
    <row r="99" spans="1:11">
      <c r="A99" s="14">
        <v>0</v>
      </c>
      <c r="B99" s="37" t="s">
        <v>53</v>
      </c>
      <c r="C99" s="38" t="s">
        <v>21</v>
      </c>
      <c r="D99" s="39">
        <v>3.3</v>
      </c>
      <c r="E99" s="21">
        <f t="shared" si="3"/>
        <v>0</v>
      </c>
      <c r="F99" s="17">
        <f t="shared" si="4"/>
        <v>0</v>
      </c>
      <c r="G99" s="17"/>
      <c r="H99" s="18">
        <v>26.2</v>
      </c>
      <c r="I99" s="19">
        <f t="shared" si="5"/>
        <v>0</v>
      </c>
      <c r="J99" s="40" t="s">
        <v>44</v>
      </c>
      <c r="K99" s="27"/>
    </row>
    <row r="100" spans="1:11">
      <c r="A100" s="14">
        <v>0</v>
      </c>
      <c r="B100" s="41" t="s">
        <v>55</v>
      </c>
      <c r="C100" s="38" t="s">
        <v>21</v>
      </c>
      <c r="D100" s="39">
        <v>3.4</v>
      </c>
      <c r="E100" s="21">
        <f t="shared" si="3"/>
        <v>0</v>
      </c>
      <c r="F100" s="17">
        <f t="shared" si="4"/>
        <v>0</v>
      </c>
      <c r="G100" s="17"/>
      <c r="H100" s="18">
        <v>26</v>
      </c>
      <c r="I100" s="19">
        <f t="shared" si="5"/>
        <v>0</v>
      </c>
      <c r="J100" s="40" t="s">
        <v>57</v>
      </c>
      <c r="K100" s="27"/>
    </row>
    <row r="101" spans="1:11">
      <c r="A101" s="14">
        <v>0</v>
      </c>
      <c r="B101" s="42" t="s">
        <v>58</v>
      </c>
      <c r="C101" s="15" t="s">
        <v>13</v>
      </c>
      <c r="D101" s="15">
        <v>3.8</v>
      </c>
      <c r="E101" s="21">
        <f t="shared" si="3"/>
        <v>0</v>
      </c>
      <c r="F101" s="17">
        <f t="shared" si="4"/>
        <v>0</v>
      </c>
      <c r="G101" s="17"/>
      <c r="H101" s="18">
        <v>38.9</v>
      </c>
      <c r="I101" s="19">
        <f t="shared" si="5"/>
        <v>0</v>
      </c>
      <c r="J101" s="26" t="s">
        <v>59</v>
      </c>
      <c r="K101" s="27"/>
    </row>
    <row r="102" spans="1:11">
      <c r="A102" s="14">
        <v>0</v>
      </c>
      <c r="B102" s="42" t="s">
        <v>60</v>
      </c>
      <c r="C102" s="15" t="s">
        <v>21</v>
      </c>
      <c r="D102" s="15">
        <v>4.1</v>
      </c>
      <c r="E102" s="21">
        <f t="shared" si="3"/>
        <v>0</v>
      </c>
      <c r="F102" s="17">
        <f t="shared" si="4"/>
        <v>0</v>
      </c>
      <c r="G102" s="17"/>
      <c r="H102" s="18">
        <v>40.6</v>
      </c>
      <c r="I102" s="19">
        <f t="shared" si="5"/>
        <v>0</v>
      </c>
      <c r="J102" s="40" t="s">
        <v>57</v>
      </c>
      <c r="K102" s="27"/>
    </row>
    <row r="103" spans="1:11">
      <c r="A103" s="14">
        <v>0</v>
      </c>
      <c r="B103" s="42">
        <v>5</v>
      </c>
      <c r="C103" s="15" t="s">
        <v>13</v>
      </c>
      <c r="D103" s="15">
        <v>4.6</v>
      </c>
      <c r="E103" s="21">
        <f t="shared" si="3"/>
        <v>0</v>
      </c>
      <c r="F103" s="17">
        <f t="shared" si="4"/>
        <v>0</v>
      </c>
      <c r="G103" s="17"/>
      <c r="H103" s="18">
        <v>59</v>
      </c>
      <c r="I103" s="19">
        <f t="shared" si="5"/>
        <v>0</v>
      </c>
      <c r="J103" s="26" t="s">
        <v>59</v>
      </c>
      <c r="K103" s="27"/>
    </row>
    <row r="104" spans="1:11">
      <c r="A104" s="14">
        <v>0</v>
      </c>
      <c r="B104" s="42">
        <v>5</v>
      </c>
      <c r="C104" s="15" t="s">
        <v>13</v>
      </c>
      <c r="D104" s="15">
        <v>4.7</v>
      </c>
      <c r="E104" s="21">
        <f t="shared" si="3"/>
        <v>0</v>
      </c>
      <c r="F104" s="17">
        <f t="shared" si="4"/>
        <v>0</v>
      </c>
      <c r="G104" s="17"/>
      <c r="H104" s="18">
        <v>55.7</v>
      </c>
      <c r="I104" s="19">
        <f t="shared" si="5"/>
        <v>0</v>
      </c>
      <c r="J104" s="26" t="s">
        <v>61</v>
      </c>
      <c r="K104" s="27"/>
    </row>
    <row r="105" spans="1:11">
      <c r="A105" s="14">
        <v>0</v>
      </c>
      <c r="B105" s="42" t="s">
        <v>62</v>
      </c>
      <c r="C105" s="15" t="s">
        <v>21</v>
      </c>
      <c r="D105" s="15">
        <v>4.9</v>
      </c>
      <c r="E105" s="21">
        <f t="shared" si="3"/>
        <v>0</v>
      </c>
      <c r="F105" s="17">
        <f t="shared" si="4"/>
        <v>0</v>
      </c>
      <c r="G105" s="17"/>
      <c r="H105" s="18">
        <v>62.4</v>
      </c>
      <c r="I105" s="19">
        <f t="shared" si="5"/>
        <v>0</v>
      </c>
      <c r="J105" s="40" t="s">
        <v>44</v>
      </c>
      <c r="K105" s="27"/>
    </row>
    <row r="106" spans="1:11">
      <c r="A106" s="14">
        <v>0</v>
      </c>
      <c r="B106" s="42" t="s">
        <v>63</v>
      </c>
      <c r="C106" s="15" t="s">
        <v>13</v>
      </c>
      <c r="D106" s="15">
        <v>5.1</v>
      </c>
      <c r="E106" s="21">
        <f t="shared" si="3"/>
        <v>0</v>
      </c>
      <c r="F106" s="17">
        <f t="shared" si="4"/>
        <v>0</v>
      </c>
      <c r="G106" s="17"/>
      <c r="H106" s="18">
        <v>59</v>
      </c>
      <c r="I106" s="19">
        <f t="shared" si="5"/>
        <v>0</v>
      </c>
      <c r="J106" s="26" t="s">
        <v>36</v>
      </c>
      <c r="K106" s="27"/>
    </row>
    <row r="107" spans="1:11">
      <c r="A107" s="14">
        <v>0</v>
      </c>
      <c r="B107" s="42" t="s">
        <v>62</v>
      </c>
      <c r="C107" s="15" t="s">
        <v>21</v>
      </c>
      <c r="D107" s="15">
        <v>5.3</v>
      </c>
      <c r="E107" s="21">
        <f t="shared" si="3"/>
        <v>0</v>
      </c>
      <c r="F107" s="17">
        <f t="shared" si="4"/>
        <v>0</v>
      </c>
      <c r="G107" s="17"/>
      <c r="H107" s="18">
        <v>61</v>
      </c>
      <c r="I107" s="19">
        <f t="shared" si="5"/>
        <v>0</v>
      </c>
      <c r="J107" s="40" t="s">
        <v>64</v>
      </c>
      <c r="K107" s="27"/>
    </row>
    <row r="108" spans="1:11">
      <c r="A108" s="14">
        <v>0</v>
      </c>
      <c r="B108" s="15" t="s">
        <v>65</v>
      </c>
      <c r="C108" s="15" t="s">
        <v>13</v>
      </c>
      <c r="D108" s="15">
        <v>5.6</v>
      </c>
      <c r="E108" s="21">
        <f t="shared" si="3"/>
        <v>0</v>
      </c>
      <c r="F108" s="17">
        <f t="shared" si="4"/>
        <v>0</v>
      </c>
      <c r="G108" s="17"/>
      <c r="H108" s="18"/>
      <c r="I108" s="19">
        <f t="shared" si="5"/>
        <v>0</v>
      </c>
      <c r="J108" s="26" t="s">
        <v>36</v>
      </c>
      <c r="K108" s="27"/>
    </row>
    <row r="109" spans="1:11">
      <c r="A109" s="14">
        <v>0</v>
      </c>
      <c r="B109" s="42">
        <v>8</v>
      </c>
      <c r="C109" s="15" t="s">
        <v>21</v>
      </c>
      <c r="D109" s="15">
        <v>5.6</v>
      </c>
      <c r="E109" s="21">
        <f t="shared" si="3"/>
        <v>0</v>
      </c>
      <c r="F109" s="17">
        <f t="shared" si="4"/>
        <v>0</v>
      </c>
      <c r="G109" s="17"/>
      <c r="H109" s="18"/>
      <c r="I109" s="19">
        <f t="shared" si="5"/>
        <v>0</v>
      </c>
      <c r="J109" s="36" t="s">
        <v>44</v>
      </c>
      <c r="K109" s="27"/>
    </row>
    <row r="110" spans="1:11">
      <c r="A110" s="14">
        <v>0</v>
      </c>
      <c r="B110" s="42" t="s">
        <v>66</v>
      </c>
      <c r="C110" s="15" t="s">
        <v>21</v>
      </c>
      <c r="D110" s="15">
        <v>5.9</v>
      </c>
      <c r="E110" s="21">
        <f t="shared" si="3"/>
        <v>0</v>
      </c>
      <c r="F110" s="17">
        <f t="shared" si="4"/>
        <v>0</v>
      </c>
      <c r="G110" s="17"/>
      <c r="H110" s="18"/>
      <c r="I110" s="19">
        <f t="shared" si="5"/>
        <v>0</v>
      </c>
      <c r="J110" s="36" t="s">
        <v>67</v>
      </c>
      <c r="K110" s="27"/>
    </row>
    <row r="111" spans="1:11">
      <c r="A111" s="14">
        <v>0</v>
      </c>
      <c r="B111" s="42" t="s">
        <v>66</v>
      </c>
      <c r="C111" s="15" t="s">
        <v>21</v>
      </c>
      <c r="D111" s="15">
        <v>6.3</v>
      </c>
      <c r="E111" s="21">
        <f t="shared" si="3"/>
        <v>0</v>
      </c>
      <c r="F111" s="17">
        <f t="shared" si="4"/>
        <v>0</v>
      </c>
      <c r="G111" s="17"/>
      <c r="H111" s="18">
        <v>91</v>
      </c>
      <c r="I111" s="19">
        <f t="shared" si="5"/>
        <v>0</v>
      </c>
      <c r="J111" s="40" t="s">
        <v>64</v>
      </c>
      <c r="K111" s="27"/>
    </row>
    <row r="112" spans="1:11">
      <c r="A112" s="14">
        <v>0</v>
      </c>
      <c r="B112" s="42">
        <v>9</v>
      </c>
      <c r="C112" s="15" t="s">
        <v>13</v>
      </c>
      <c r="D112" s="15">
        <v>5.8</v>
      </c>
      <c r="E112" s="21">
        <f t="shared" si="3"/>
        <v>0</v>
      </c>
      <c r="F112" s="17">
        <f t="shared" si="4"/>
        <v>0</v>
      </c>
      <c r="G112" s="17"/>
      <c r="H112" s="18">
        <v>91</v>
      </c>
      <c r="I112" s="19">
        <f t="shared" si="5"/>
        <v>0</v>
      </c>
      <c r="J112" s="40" t="s">
        <v>61</v>
      </c>
      <c r="K112" s="27"/>
    </row>
    <row r="113" spans="1:11">
      <c r="A113" s="14">
        <v>0</v>
      </c>
      <c r="B113" s="42">
        <v>10</v>
      </c>
      <c r="C113" s="15" t="s">
        <v>13</v>
      </c>
      <c r="D113" s="15">
        <v>5.9</v>
      </c>
      <c r="E113" s="21">
        <f t="shared" si="3"/>
        <v>0</v>
      </c>
      <c r="F113" s="17">
        <f t="shared" si="4"/>
        <v>0</v>
      </c>
      <c r="G113" s="17"/>
      <c r="H113" s="18">
        <v>97</v>
      </c>
      <c r="I113" s="19">
        <f t="shared" si="5"/>
        <v>0</v>
      </c>
      <c r="J113" s="40" t="s">
        <v>61</v>
      </c>
      <c r="K113" s="27"/>
    </row>
    <row r="114" spans="1:11">
      <c r="A114" s="14">
        <v>0</v>
      </c>
      <c r="B114" s="24" t="s">
        <v>68</v>
      </c>
      <c r="C114" s="15" t="s">
        <v>21</v>
      </c>
      <c r="D114" s="35">
        <v>6.9</v>
      </c>
      <c r="E114" s="21">
        <f t="shared" si="3"/>
        <v>0</v>
      </c>
      <c r="F114" s="17">
        <f t="shared" si="4"/>
        <v>0</v>
      </c>
      <c r="G114" s="17"/>
      <c r="H114" s="18">
        <v>118</v>
      </c>
      <c r="I114" s="19">
        <f t="shared" si="5"/>
        <v>0</v>
      </c>
      <c r="J114" s="40" t="s">
        <v>57</v>
      </c>
      <c r="K114" s="27"/>
    </row>
    <row r="115" spans="1:11">
      <c r="A115" s="14">
        <v>0</v>
      </c>
      <c r="B115" s="24" t="s">
        <v>69</v>
      </c>
      <c r="C115" s="15" t="s">
        <v>21</v>
      </c>
      <c r="D115" s="35">
        <v>7.4</v>
      </c>
      <c r="E115" s="21">
        <f t="shared" si="3"/>
        <v>0</v>
      </c>
      <c r="F115" s="17">
        <f t="shared" si="4"/>
        <v>0</v>
      </c>
      <c r="G115" s="17"/>
      <c r="H115" s="18"/>
      <c r="I115" s="19">
        <f t="shared" si="5"/>
        <v>0</v>
      </c>
      <c r="J115" s="40" t="s">
        <v>44</v>
      </c>
      <c r="K115" s="27"/>
    </row>
    <row r="116" spans="1:11">
      <c r="A116" s="14">
        <v>0</v>
      </c>
      <c r="B116" s="24">
        <v>15</v>
      </c>
      <c r="C116" s="15" t="s">
        <v>13</v>
      </c>
      <c r="D116" s="35">
        <v>6.9</v>
      </c>
      <c r="E116" s="21">
        <f t="shared" si="3"/>
        <v>0</v>
      </c>
      <c r="F116" s="17">
        <f t="shared" si="4"/>
        <v>0</v>
      </c>
      <c r="G116" s="17"/>
      <c r="H116" s="18">
        <v>141</v>
      </c>
      <c r="I116" s="19">
        <f t="shared" si="5"/>
        <v>0</v>
      </c>
      <c r="J116" s="40" t="s">
        <v>70</v>
      </c>
      <c r="K116" s="27"/>
    </row>
    <row r="117" spans="1:11">
      <c r="A117" s="14">
        <v>0</v>
      </c>
      <c r="B117" s="24" t="s">
        <v>71</v>
      </c>
      <c r="C117" s="15" t="s">
        <v>13</v>
      </c>
      <c r="D117" s="35">
        <v>7.5</v>
      </c>
      <c r="E117" s="21">
        <f t="shared" si="3"/>
        <v>0</v>
      </c>
      <c r="F117" s="17">
        <f t="shared" si="4"/>
        <v>0</v>
      </c>
      <c r="G117" s="17"/>
      <c r="H117" s="18"/>
      <c r="I117" s="19">
        <f t="shared" si="5"/>
        <v>0</v>
      </c>
      <c r="J117" s="43" t="s">
        <v>72</v>
      </c>
      <c r="K117" s="27"/>
    </row>
    <row r="118" spans="1:11">
      <c r="A118" s="14">
        <v>0</v>
      </c>
      <c r="B118" s="24" t="s">
        <v>71</v>
      </c>
      <c r="C118" s="15" t="s">
        <v>21</v>
      </c>
      <c r="D118" s="41">
        <v>8</v>
      </c>
      <c r="E118" s="21">
        <f t="shared" si="3"/>
        <v>0</v>
      </c>
      <c r="F118" s="17">
        <f t="shared" si="4"/>
        <v>0</v>
      </c>
      <c r="G118" s="17"/>
      <c r="H118" s="18">
        <v>156</v>
      </c>
      <c r="I118" s="19">
        <f t="shared" si="5"/>
        <v>0</v>
      </c>
      <c r="J118" s="40" t="s">
        <v>73</v>
      </c>
      <c r="K118" s="27"/>
    </row>
    <row r="119" spans="1:11">
      <c r="A119" s="14">
        <v>0</v>
      </c>
      <c r="B119" s="24" t="s">
        <v>71</v>
      </c>
      <c r="C119" s="15" t="s">
        <v>21</v>
      </c>
      <c r="D119" s="41">
        <v>8.2</v>
      </c>
      <c r="E119" s="21">
        <f t="shared" si="3"/>
        <v>0</v>
      </c>
      <c r="F119" s="17">
        <f t="shared" si="4"/>
        <v>0</v>
      </c>
      <c r="G119" s="17"/>
      <c r="H119" s="18"/>
      <c r="I119" s="19">
        <f t="shared" si="5"/>
        <v>0</v>
      </c>
      <c r="J119" s="43" t="s">
        <v>67</v>
      </c>
      <c r="K119" s="27"/>
    </row>
    <row r="120" spans="1:11">
      <c r="A120" s="14">
        <v>0</v>
      </c>
      <c r="B120" s="24">
        <v>20</v>
      </c>
      <c r="C120" s="15" t="s">
        <v>13</v>
      </c>
      <c r="D120" s="41">
        <v>8.1</v>
      </c>
      <c r="E120" s="21">
        <f t="shared" si="3"/>
        <v>0</v>
      </c>
      <c r="F120" s="17">
        <f t="shared" si="4"/>
        <v>0</v>
      </c>
      <c r="G120" s="17"/>
      <c r="H120" s="18">
        <v>196</v>
      </c>
      <c r="I120" s="19">
        <f t="shared" si="5"/>
        <v>0</v>
      </c>
      <c r="J120" s="43" t="s">
        <v>70</v>
      </c>
      <c r="K120" s="27"/>
    </row>
    <row r="121" spans="1:11">
      <c r="A121" s="14">
        <v>0</v>
      </c>
      <c r="B121" s="15" t="s">
        <v>74</v>
      </c>
      <c r="C121" s="15" t="s">
        <v>13</v>
      </c>
      <c r="D121" s="15">
        <v>8.8</v>
      </c>
      <c r="E121" s="21">
        <f t="shared" si="3"/>
        <v>0</v>
      </c>
      <c r="F121" s="17">
        <f t="shared" si="4"/>
        <v>0</v>
      </c>
      <c r="G121" s="17"/>
      <c r="H121" s="18"/>
      <c r="I121" s="19">
        <f t="shared" si="5"/>
        <v>0</v>
      </c>
      <c r="J121" s="40" t="s">
        <v>72</v>
      </c>
      <c r="K121" s="27"/>
    </row>
    <row r="122" spans="1:11">
      <c r="A122" s="14">
        <v>0</v>
      </c>
      <c r="B122" s="15" t="s">
        <v>74</v>
      </c>
      <c r="C122" s="15" t="s">
        <v>21</v>
      </c>
      <c r="D122" s="15">
        <v>9.3</v>
      </c>
      <c r="E122" s="21">
        <f t="shared" si="3"/>
        <v>0</v>
      </c>
      <c r="F122" s="17">
        <f t="shared" si="4"/>
        <v>0</v>
      </c>
      <c r="G122" s="17"/>
      <c r="H122" s="18">
        <v>214</v>
      </c>
      <c r="I122" s="19">
        <f t="shared" si="5"/>
        <v>0</v>
      </c>
      <c r="J122" s="40" t="s">
        <v>57</v>
      </c>
      <c r="K122" s="27"/>
    </row>
    <row r="123" spans="1:11">
      <c r="A123" s="14">
        <v>0</v>
      </c>
      <c r="B123" s="15">
        <v>30</v>
      </c>
      <c r="C123" s="15" t="s">
        <v>13</v>
      </c>
      <c r="D123" s="15">
        <v>9.4</v>
      </c>
      <c r="E123" s="21">
        <f t="shared" si="3"/>
        <v>0</v>
      </c>
      <c r="F123" s="17">
        <f t="shared" si="4"/>
        <v>0</v>
      </c>
      <c r="G123" s="17"/>
      <c r="H123" s="18">
        <v>281</v>
      </c>
      <c r="I123" s="19">
        <f t="shared" si="5"/>
        <v>0</v>
      </c>
      <c r="J123" s="40" t="s">
        <v>70</v>
      </c>
      <c r="K123" s="27"/>
    </row>
    <row r="124" spans="1:11">
      <c r="A124" s="14">
        <v>0</v>
      </c>
      <c r="B124" s="15" t="s">
        <v>75</v>
      </c>
      <c r="C124" s="15" t="s">
        <v>21</v>
      </c>
      <c r="D124" s="15">
        <v>11.3</v>
      </c>
      <c r="E124" s="21">
        <f t="shared" si="3"/>
        <v>0</v>
      </c>
      <c r="F124" s="17">
        <f t="shared" si="4"/>
        <v>0</v>
      </c>
      <c r="G124" s="17"/>
      <c r="H124" s="18">
        <v>317</v>
      </c>
      <c r="I124" s="19">
        <f t="shared" si="5"/>
        <v>0</v>
      </c>
      <c r="J124" s="40" t="s">
        <v>57</v>
      </c>
      <c r="K124" s="27"/>
    </row>
    <row r="125" spans="1:11">
      <c r="A125" s="14">
        <v>0</v>
      </c>
      <c r="B125" s="15">
        <v>40</v>
      </c>
      <c r="C125" s="15" t="s">
        <v>13</v>
      </c>
      <c r="D125" s="15">
        <v>10.8</v>
      </c>
      <c r="E125" s="21">
        <f t="shared" si="3"/>
        <v>0</v>
      </c>
      <c r="F125" s="17">
        <f t="shared" si="4"/>
        <v>0</v>
      </c>
      <c r="G125" s="17"/>
      <c r="H125" s="18"/>
      <c r="I125" s="19">
        <f t="shared" si="5"/>
        <v>0</v>
      </c>
      <c r="J125" s="40" t="s">
        <v>61</v>
      </c>
      <c r="K125" s="27"/>
    </row>
    <row r="126" spans="1:11">
      <c r="A126" s="14">
        <v>0</v>
      </c>
      <c r="B126" s="15" t="s">
        <v>76</v>
      </c>
      <c r="C126" s="15" t="s">
        <v>21</v>
      </c>
      <c r="D126" s="15">
        <v>12.6</v>
      </c>
      <c r="E126" s="21">
        <f t="shared" si="3"/>
        <v>0</v>
      </c>
      <c r="F126" s="17">
        <f t="shared" si="4"/>
        <v>0</v>
      </c>
      <c r="G126" s="17"/>
      <c r="H126" s="18">
        <v>416</v>
      </c>
      <c r="I126" s="19">
        <f t="shared" si="5"/>
        <v>0</v>
      </c>
      <c r="J126" s="40" t="s">
        <v>57</v>
      </c>
      <c r="K126" s="27"/>
    </row>
    <row r="127" spans="1:11">
      <c r="A127" s="14">
        <v>0</v>
      </c>
      <c r="B127" s="15">
        <v>50</v>
      </c>
      <c r="C127" s="15" t="s">
        <v>13</v>
      </c>
      <c r="D127" s="15">
        <v>11.9</v>
      </c>
      <c r="E127" s="21">
        <f t="shared" ref="E127:E156" si="6">D127*A127</f>
        <v>0</v>
      </c>
      <c r="F127" s="17">
        <f t="shared" si="4"/>
        <v>0</v>
      </c>
      <c r="G127" s="17"/>
      <c r="H127" s="18">
        <v>461</v>
      </c>
      <c r="I127" s="19">
        <f t="shared" si="5"/>
        <v>0</v>
      </c>
      <c r="J127" s="40" t="s">
        <v>61</v>
      </c>
      <c r="K127" s="27"/>
    </row>
    <row r="128" spans="1:11">
      <c r="A128" s="14">
        <v>0</v>
      </c>
      <c r="B128" s="15" t="s">
        <v>77</v>
      </c>
      <c r="C128" s="15" t="s">
        <v>21</v>
      </c>
      <c r="D128" s="15">
        <v>14.1</v>
      </c>
      <c r="E128" s="21">
        <f t="shared" si="6"/>
        <v>0</v>
      </c>
      <c r="F128" s="17">
        <f t="shared" si="4"/>
        <v>0</v>
      </c>
      <c r="G128" s="17"/>
      <c r="H128" s="18">
        <v>518</v>
      </c>
      <c r="I128" s="19">
        <f t="shared" si="5"/>
        <v>0</v>
      </c>
      <c r="J128" s="40" t="s">
        <v>57</v>
      </c>
      <c r="K128" s="27"/>
    </row>
    <row r="129" spans="1:11">
      <c r="A129" s="14">
        <v>0</v>
      </c>
      <c r="B129" s="15">
        <v>60</v>
      </c>
      <c r="C129" s="15" t="s">
        <v>13</v>
      </c>
      <c r="D129" s="15">
        <v>12.9</v>
      </c>
      <c r="E129" s="21">
        <f t="shared" si="6"/>
        <v>0</v>
      </c>
      <c r="F129" s="17">
        <f t="shared" si="4"/>
        <v>0</v>
      </c>
      <c r="G129" s="17"/>
      <c r="H129" s="18">
        <v>556</v>
      </c>
      <c r="I129" s="19">
        <f t="shared" si="5"/>
        <v>0</v>
      </c>
      <c r="J129" s="40" t="s">
        <v>61</v>
      </c>
      <c r="K129" s="27"/>
    </row>
    <row r="130" spans="1:11">
      <c r="A130" s="14">
        <v>0</v>
      </c>
      <c r="B130" s="15" t="s">
        <v>78</v>
      </c>
      <c r="C130" s="15" t="s">
        <v>21</v>
      </c>
      <c r="D130" s="15">
        <v>15.1</v>
      </c>
      <c r="E130" s="21">
        <f t="shared" si="6"/>
        <v>0</v>
      </c>
      <c r="F130" s="17">
        <f t="shared" si="4"/>
        <v>0</v>
      </c>
      <c r="G130" s="17"/>
      <c r="H130" s="18">
        <v>616</v>
      </c>
      <c r="I130" s="19">
        <f t="shared" si="5"/>
        <v>0</v>
      </c>
      <c r="J130" s="40" t="s">
        <v>57</v>
      </c>
      <c r="K130" s="27"/>
    </row>
    <row r="131" spans="1:11">
      <c r="A131" s="14">
        <v>0</v>
      </c>
      <c r="B131" s="15">
        <v>85</v>
      </c>
      <c r="C131" s="15" t="s">
        <v>13</v>
      </c>
      <c r="D131" s="15">
        <v>15</v>
      </c>
      <c r="E131" s="21">
        <f t="shared" si="6"/>
        <v>0</v>
      </c>
      <c r="F131" s="17">
        <f t="shared" si="4"/>
        <v>0</v>
      </c>
      <c r="G131" s="17"/>
      <c r="H131" s="18"/>
      <c r="I131" s="19">
        <f t="shared" si="5"/>
        <v>0</v>
      </c>
      <c r="J131" s="40" t="s">
        <v>61</v>
      </c>
      <c r="K131" s="27"/>
    </row>
    <row r="132" spans="1:11">
      <c r="A132" s="14">
        <v>0</v>
      </c>
      <c r="B132" s="15" t="s">
        <v>79</v>
      </c>
      <c r="C132" s="15" t="s">
        <v>21</v>
      </c>
      <c r="D132" s="15">
        <v>18.1</v>
      </c>
      <c r="E132" s="21">
        <f t="shared" si="6"/>
        <v>0</v>
      </c>
      <c r="F132" s="17">
        <f t="shared" ref="F132:F156" si="7">A132*(((D132/2)^2)*3.1415927)</f>
        <v>0</v>
      </c>
      <c r="G132" s="17"/>
      <c r="H132" s="18"/>
      <c r="I132" s="19">
        <f t="shared" ref="I132:I156" si="8">IF(A132&lt;&gt;0,(G132*H132)/1000,0)</f>
        <v>0</v>
      </c>
      <c r="J132" s="40" t="s">
        <v>57</v>
      </c>
      <c r="K132" s="27"/>
    </row>
    <row r="133" spans="1:11">
      <c r="A133" s="14">
        <v>0</v>
      </c>
      <c r="B133" s="15" t="s">
        <v>80</v>
      </c>
      <c r="C133" s="15" t="s">
        <v>21</v>
      </c>
      <c r="D133" s="38">
        <v>19.9</v>
      </c>
      <c r="E133" s="21">
        <f t="shared" si="6"/>
        <v>0</v>
      </c>
      <c r="F133" s="17">
        <f t="shared" si="7"/>
        <v>0</v>
      </c>
      <c r="G133" s="17"/>
      <c r="H133" s="18"/>
      <c r="I133" s="19">
        <f t="shared" si="8"/>
        <v>0</v>
      </c>
      <c r="J133" s="40" t="s">
        <v>57</v>
      </c>
      <c r="K133" s="27"/>
    </row>
    <row r="134" spans="1:11">
      <c r="A134" s="14">
        <v>0</v>
      </c>
      <c r="B134" s="24">
        <v>0.35</v>
      </c>
      <c r="C134" s="15" t="s">
        <v>81</v>
      </c>
      <c r="D134" s="44">
        <v>0.9</v>
      </c>
      <c r="E134" s="21">
        <f t="shared" si="6"/>
        <v>0</v>
      </c>
      <c r="F134" s="17">
        <f t="shared" si="7"/>
        <v>0</v>
      </c>
      <c r="G134" s="17"/>
      <c r="H134" s="18">
        <v>3.1</v>
      </c>
      <c r="I134" s="19">
        <f t="shared" si="8"/>
        <v>0</v>
      </c>
      <c r="K134" s="27"/>
    </row>
    <row r="135" spans="1:11">
      <c r="A135" s="14">
        <v>0</v>
      </c>
      <c r="B135" s="24">
        <v>0.5</v>
      </c>
      <c r="C135" s="15" t="s">
        <v>81</v>
      </c>
      <c r="D135" s="44">
        <v>1.1</v>
      </c>
      <c r="E135" s="21">
        <f t="shared" si="6"/>
        <v>0</v>
      </c>
      <c r="F135" s="17">
        <f t="shared" si="7"/>
        <v>0</v>
      </c>
      <c r="G135" s="17"/>
      <c r="H135" s="18">
        <v>4.5</v>
      </c>
      <c r="I135" s="19">
        <f t="shared" si="8"/>
        <v>0</v>
      </c>
      <c r="K135" s="27"/>
    </row>
    <row r="136" spans="1:11">
      <c r="A136" s="14">
        <v>0</v>
      </c>
      <c r="B136" s="24" t="s">
        <v>82</v>
      </c>
      <c r="C136" s="15" t="s">
        <v>83</v>
      </c>
      <c r="D136" s="21">
        <v>3.3</v>
      </c>
      <c r="E136" s="21">
        <f t="shared" si="6"/>
        <v>0</v>
      </c>
      <c r="F136" s="17">
        <f t="shared" si="7"/>
        <v>0</v>
      </c>
      <c r="G136" s="17"/>
      <c r="H136" s="18"/>
      <c r="I136" s="19">
        <f t="shared" si="8"/>
        <v>0</v>
      </c>
      <c r="J136" s="1">
        <v>5</v>
      </c>
      <c r="K136" s="27"/>
    </row>
    <row r="137" spans="1:11">
      <c r="A137" s="14">
        <v>0</v>
      </c>
      <c r="B137" s="24" t="s">
        <v>82</v>
      </c>
      <c r="C137" s="15" t="s">
        <v>83</v>
      </c>
      <c r="D137" s="21">
        <v>7</v>
      </c>
      <c r="E137" s="21">
        <f t="shared" si="6"/>
        <v>0</v>
      </c>
      <c r="F137" s="17">
        <v>0</v>
      </c>
      <c r="G137" s="17"/>
      <c r="H137" s="18"/>
      <c r="I137" s="19">
        <f t="shared" si="8"/>
        <v>0</v>
      </c>
      <c r="K137" s="27"/>
    </row>
    <row r="138" spans="1:11">
      <c r="A138" s="14">
        <v>0</v>
      </c>
      <c r="B138" s="24" t="s">
        <v>84</v>
      </c>
      <c r="C138" s="15" t="s">
        <v>83</v>
      </c>
      <c r="D138" s="21">
        <v>5.6</v>
      </c>
      <c r="E138" s="21">
        <f t="shared" si="6"/>
        <v>0</v>
      </c>
      <c r="F138" s="17">
        <f t="shared" si="7"/>
        <v>0</v>
      </c>
      <c r="G138" s="17"/>
      <c r="H138" s="18"/>
      <c r="I138" s="19">
        <f t="shared" si="8"/>
        <v>0</v>
      </c>
      <c r="J138" s="1">
        <v>6</v>
      </c>
      <c r="K138" s="27"/>
    </row>
    <row r="139" spans="1:11">
      <c r="A139" s="14">
        <v>0</v>
      </c>
      <c r="B139" s="24" t="s">
        <v>85</v>
      </c>
      <c r="C139" s="15" t="s">
        <v>83</v>
      </c>
      <c r="D139" s="21">
        <v>6.7</v>
      </c>
      <c r="E139" s="21">
        <f t="shared" si="6"/>
        <v>0</v>
      </c>
      <c r="F139" s="17">
        <v>0</v>
      </c>
      <c r="G139" s="17"/>
      <c r="H139" s="18"/>
      <c r="I139" s="19">
        <f t="shared" si="8"/>
        <v>0</v>
      </c>
      <c r="K139" s="27"/>
    </row>
    <row r="140" spans="1:11">
      <c r="A140" s="14">
        <v>0</v>
      </c>
      <c r="B140" s="24" t="s">
        <v>86</v>
      </c>
      <c r="C140" s="15" t="s">
        <v>83</v>
      </c>
      <c r="D140" s="21">
        <v>4.3</v>
      </c>
      <c r="E140" s="21">
        <f t="shared" si="6"/>
        <v>0</v>
      </c>
      <c r="F140" s="17">
        <f t="shared" si="7"/>
        <v>0</v>
      </c>
      <c r="G140" s="17"/>
      <c r="H140" s="18"/>
      <c r="I140" s="19">
        <f t="shared" si="8"/>
        <v>0</v>
      </c>
      <c r="J140" s="1">
        <v>6</v>
      </c>
      <c r="K140" s="27"/>
    </row>
    <row r="141" spans="1:11">
      <c r="A141" s="14">
        <v>0</v>
      </c>
      <c r="B141" s="24" t="s">
        <v>87</v>
      </c>
      <c r="C141" s="15" t="s">
        <v>83</v>
      </c>
      <c r="D141" s="21">
        <v>7.065</v>
      </c>
      <c r="E141" s="21">
        <f t="shared" si="6"/>
        <v>0</v>
      </c>
      <c r="F141" s="17">
        <f t="shared" si="7"/>
        <v>0</v>
      </c>
      <c r="G141" s="17"/>
      <c r="H141" s="18"/>
      <c r="I141" s="19">
        <f t="shared" si="8"/>
        <v>0</v>
      </c>
      <c r="J141" s="1">
        <v>3</v>
      </c>
      <c r="K141" s="27"/>
    </row>
    <row r="142" spans="1:11">
      <c r="A142" s="14">
        <v>0</v>
      </c>
      <c r="B142" s="24" t="s">
        <v>88</v>
      </c>
      <c r="C142" s="15" t="s">
        <v>83</v>
      </c>
      <c r="D142" s="21">
        <v>5.2</v>
      </c>
      <c r="E142" s="21">
        <f t="shared" si="6"/>
        <v>0</v>
      </c>
      <c r="F142" s="17">
        <v>0</v>
      </c>
      <c r="G142" s="17"/>
      <c r="H142" s="18"/>
      <c r="I142" s="19">
        <f t="shared" si="8"/>
        <v>0</v>
      </c>
      <c r="K142" s="27"/>
    </row>
    <row r="143" spans="1:11">
      <c r="A143" s="14">
        <v>0</v>
      </c>
      <c r="B143" s="24" t="s">
        <v>89</v>
      </c>
      <c r="C143" s="15" t="s">
        <v>83</v>
      </c>
      <c r="D143" s="21">
        <v>5</v>
      </c>
      <c r="E143" s="21">
        <f t="shared" si="6"/>
        <v>0</v>
      </c>
      <c r="F143" s="17">
        <f t="shared" si="7"/>
        <v>0</v>
      </c>
      <c r="G143" s="17"/>
      <c r="H143" s="18"/>
      <c r="I143" s="19">
        <f t="shared" si="8"/>
        <v>0</v>
      </c>
      <c r="K143" s="27"/>
    </row>
    <row r="144" spans="1:11">
      <c r="A144" s="14">
        <v>0</v>
      </c>
      <c r="B144" s="24" t="s">
        <v>90</v>
      </c>
      <c r="C144" s="15" t="s">
        <v>83</v>
      </c>
      <c r="D144" s="21">
        <v>5</v>
      </c>
      <c r="E144" s="21">
        <f t="shared" si="6"/>
        <v>0</v>
      </c>
      <c r="F144" s="17">
        <f t="shared" si="7"/>
        <v>0</v>
      </c>
      <c r="G144" s="17"/>
      <c r="H144" s="18"/>
      <c r="I144" s="19">
        <f t="shared" si="8"/>
        <v>0</v>
      </c>
      <c r="K144" s="27"/>
    </row>
    <row r="145" spans="1:11">
      <c r="A145" s="14">
        <v>0</v>
      </c>
      <c r="B145" s="24" t="s">
        <v>91</v>
      </c>
      <c r="C145" s="15" t="s">
        <v>83</v>
      </c>
      <c r="D145" s="21">
        <v>4.6</v>
      </c>
      <c r="E145" s="21">
        <f t="shared" si="6"/>
        <v>0</v>
      </c>
      <c r="F145" s="17">
        <f t="shared" si="7"/>
        <v>0</v>
      </c>
      <c r="G145" s="17"/>
      <c r="H145" s="18"/>
      <c r="I145" s="19">
        <f t="shared" si="8"/>
        <v>0</v>
      </c>
      <c r="K145" s="27"/>
    </row>
    <row r="146" spans="1:11">
      <c r="A146" s="14">
        <v>0</v>
      </c>
      <c r="B146" s="24" t="s">
        <v>92</v>
      </c>
      <c r="C146" s="15" t="s">
        <v>83</v>
      </c>
      <c r="D146" s="21"/>
      <c r="E146" s="21">
        <f t="shared" si="6"/>
        <v>0</v>
      </c>
      <c r="F146" s="17">
        <f t="shared" si="7"/>
        <v>0</v>
      </c>
      <c r="G146" s="17"/>
      <c r="H146" s="18"/>
      <c r="I146" s="19">
        <f t="shared" si="8"/>
        <v>0</v>
      </c>
      <c r="K146" s="27"/>
    </row>
    <row r="147" spans="1:11">
      <c r="A147" s="14">
        <v>0</v>
      </c>
      <c r="B147" s="24" t="s">
        <v>93</v>
      </c>
      <c r="C147" s="15" t="s">
        <v>83</v>
      </c>
      <c r="D147" s="21"/>
      <c r="E147" s="21">
        <f t="shared" si="6"/>
        <v>0</v>
      </c>
      <c r="F147" s="17">
        <f t="shared" si="7"/>
        <v>0</v>
      </c>
      <c r="G147" s="17"/>
      <c r="H147" s="18"/>
      <c r="I147" s="19">
        <f t="shared" si="8"/>
        <v>0</v>
      </c>
      <c r="J147" s="45" t="s">
        <v>94</v>
      </c>
      <c r="K147" s="27"/>
    </row>
    <row r="148" spans="1:11">
      <c r="A148" s="14">
        <v>0</v>
      </c>
      <c r="B148" s="24" t="s">
        <v>95</v>
      </c>
      <c r="C148" s="15" t="s">
        <v>83</v>
      </c>
      <c r="D148" s="21"/>
      <c r="E148" s="21">
        <f t="shared" si="6"/>
        <v>0</v>
      </c>
      <c r="F148" s="17">
        <f t="shared" si="7"/>
        <v>0</v>
      </c>
      <c r="G148" s="17"/>
      <c r="H148" s="18"/>
      <c r="I148" s="19">
        <f t="shared" si="8"/>
        <v>0</v>
      </c>
      <c r="J148" s="45"/>
      <c r="K148" s="27"/>
    </row>
    <row r="149" spans="1:11">
      <c r="A149" s="14">
        <v>0</v>
      </c>
      <c r="B149" s="24" t="s">
        <v>96</v>
      </c>
      <c r="C149" s="15" t="s">
        <v>83</v>
      </c>
      <c r="D149" s="21"/>
      <c r="E149" s="21">
        <f t="shared" si="6"/>
        <v>0</v>
      </c>
      <c r="F149" s="17">
        <f t="shared" si="7"/>
        <v>0</v>
      </c>
      <c r="G149" s="17"/>
      <c r="H149" s="18"/>
      <c r="I149" s="19">
        <f t="shared" si="8"/>
        <v>0</v>
      </c>
      <c r="J149" s="45"/>
      <c r="K149" s="27"/>
    </row>
    <row r="150" spans="1:11">
      <c r="A150" s="14">
        <v>0</v>
      </c>
      <c r="B150" s="24" t="s">
        <v>97</v>
      </c>
      <c r="C150" s="15" t="s">
        <v>83</v>
      </c>
      <c r="D150" s="21"/>
      <c r="E150" s="21">
        <f t="shared" si="6"/>
        <v>0</v>
      </c>
      <c r="F150" s="17">
        <f t="shared" si="7"/>
        <v>0</v>
      </c>
      <c r="G150" s="17"/>
      <c r="H150" s="18"/>
      <c r="I150" s="19">
        <f t="shared" si="8"/>
        <v>0</v>
      </c>
      <c r="J150" s="45"/>
      <c r="K150" s="27"/>
    </row>
    <row r="151" spans="1:11">
      <c r="A151" s="14">
        <v>0</v>
      </c>
      <c r="B151" s="24" t="s">
        <v>98</v>
      </c>
      <c r="C151" s="15" t="s">
        <v>83</v>
      </c>
      <c r="D151" s="21"/>
      <c r="E151" s="21">
        <f t="shared" si="6"/>
        <v>0</v>
      </c>
      <c r="F151" s="17">
        <f t="shared" si="7"/>
        <v>0</v>
      </c>
      <c r="G151" s="17"/>
      <c r="H151" s="18"/>
      <c r="I151" s="19">
        <f t="shared" si="8"/>
        <v>0</v>
      </c>
      <c r="J151" s="45"/>
      <c r="K151" s="27"/>
    </row>
    <row r="152" spans="1:11">
      <c r="A152" s="14">
        <v>0</v>
      </c>
      <c r="B152" s="24" t="s">
        <v>99</v>
      </c>
      <c r="C152" s="15" t="s">
        <v>83</v>
      </c>
      <c r="D152" s="21"/>
      <c r="E152" s="21">
        <f t="shared" si="6"/>
        <v>0</v>
      </c>
      <c r="F152" s="17">
        <f t="shared" si="7"/>
        <v>0</v>
      </c>
      <c r="G152" s="17"/>
      <c r="H152" s="18"/>
      <c r="I152" s="19">
        <f t="shared" si="8"/>
        <v>0</v>
      </c>
      <c r="J152" s="45"/>
      <c r="K152" s="27"/>
    </row>
    <row r="153" spans="1:11">
      <c r="A153" s="14">
        <v>0</v>
      </c>
      <c r="B153" s="24" t="s">
        <v>100</v>
      </c>
      <c r="C153" s="15" t="s">
        <v>83</v>
      </c>
      <c r="D153" s="21"/>
      <c r="E153" s="21">
        <f t="shared" si="6"/>
        <v>0</v>
      </c>
      <c r="F153" s="17">
        <f t="shared" si="7"/>
        <v>0</v>
      </c>
      <c r="G153" s="17"/>
      <c r="H153" s="18"/>
      <c r="I153" s="19">
        <f t="shared" si="8"/>
        <v>0</v>
      </c>
      <c r="J153" s="45"/>
      <c r="K153" s="27"/>
    </row>
    <row r="154" spans="1:11">
      <c r="A154" s="14">
        <v>0</v>
      </c>
      <c r="B154" s="24" t="s">
        <v>101</v>
      </c>
      <c r="C154" s="15" t="s">
        <v>83</v>
      </c>
      <c r="D154" s="21"/>
      <c r="E154" s="21">
        <f t="shared" si="6"/>
        <v>0</v>
      </c>
      <c r="F154" s="17">
        <f t="shared" si="7"/>
        <v>0</v>
      </c>
      <c r="G154" s="17"/>
      <c r="H154" s="18"/>
      <c r="I154" s="19">
        <f t="shared" si="8"/>
        <v>0</v>
      </c>
      <c r="J154" s="45"/>
      <c r="K154" s="27"/>
    </row>
    <row r="155" spans="1:11">
      <c r="A155" s="14">
        <v>0</v>
      </c>
      <c r="B155" s="24" t="s">
        <v>102</v>
      </c>
      <c r="C155" s="15" t="s">
        <v>83</v>
      </c>
      <c r="D155" s="21"/>
      <c r="E155" s="21">
        <f t="shared" si="6"/>
        <v>0</v>
      </c>
      <c r="F155" s="17">
        <f t="shared" si="7"/>
        <v>0</v>
      </c>
      <c r="G155" s="17"/>
      <c r="H155" s="18"/>
      <c r="I155" s="19">
        <f t="shared" si="8"/>
        <v>0</v>
      </c>
      <c r="J155" s="45"/>
      <c r="K155" s="27"/>
    </row>
    <row r="156" spans="1:11">
      <c r="A156" s="14">
        <v>0</v>
      </c>
      <c r="B156" s="24" t="s">
        <v>103</v>
      </c>
      <c r="C156" s="15" t="s">
        <v>83</v>
      </c>
      <c r="D156" s="21"/>
      <c r="E156" s="21">
        <f t="shared" si="6"/>
        <v>0</v>
      </c>
      <c r="F156" s="17">
        <f t="shared" si="7"/>
        <v>0</v>
      </c>
      <c r="G156" s="17"/>
      <c r="H156" s="18"/>
      <c r="I156" s="19">
        <f t="shared" si="8"/>
        <v>0</v>
      </c>
      <c r="K156" s="27"/>
    </row>
    <row r="157" spans="1:11">
      <c r="A157" s="14">
        <v>0</v>
      </c>
      <c r="B157" s="27"/>
      <c r="C157" s="46"/>
      <c r="D157" s="31"/>
      <c r="E157" s="21"/>
      <c r="F157" s="31"/>
      <c r="G157" s="31"/>
      <c r="H157" s="31"/>
      <c r="I157" s="31"/>
      <c r="K157" s="27"/>
    </row>
    <row r="158" spans="1:11">
      <c r="A158" s="47">
        <f>SUM(A3:A146)</f>
        <v>5</v>
      </c>
      <c r="B158" s="27"/>
      <c r="C158" s="46"/>
      <c r="D158" s="31"/>
      <c r="E158" s="31"/>
      <c r="F158" s="31"/>
      <c r="G158" s="31"/>
      <c r="H158" s="31"/>
      <c r="I158" s="31"/>
      <c r="K158" s="27"/>
    </row>
    <row r="159" spans="1:11">
      <c r="A159" s="48"/>
      <c r="B159" s="27"/>
      <c r="C159" s="46"/>
      <c r="D159" s="31"/>
      <c r="E159" s="31"/>
      <c r="F159" s="31"/>
      <c r="G159" s="31"/>
      <c r="H159" s="31"/>
      <c r="I159" s="31"/>
      <c r="K159" s="27"/>
    </row>
    <row r="160" ht="15.6" customHeight="1" spans="1:11">
      <c r="B160" s="27"/>
      <c r="C160" s="27"/>
      <c r="D160" s="31"/>
      <c r="E160" s="31"/>
      <c r="F160" s="31"/>
      <c r="G160" s="31"/>
      <c r="H160" s="31"/>
      <c r="I160" s="31"/>
    </row>
    <row r="161" ht="15.5" spans="1:13">
      <c r="A161" s="8" t="s">
        <v>104</v>
      </c>
      <c r="B161" s="49"/>
      <c r="C161" s="50"/>
      <c r="D161" s="31"/>
      <c r="E161" s="31"/>
      <c r="F161" s="31"/>
      <c r="G161" s="31"/>
      <c r="H161" s="31"/>
      <c r="I161" s="31"/>
      <c r="K161" s="1"/>
    </row>
    <row r="162" ht="13" spans="1:13">
      <c r="A162" s="51" t="s">
        <v>105</v>
      </c>
      <c r="B162" s="52">
        <v>20</v>
      </c>
      <c r="C162" s="53"/>
      <c r="D162" s="31"/>
      <c r="E162" s="31"/>
      <c r="F162" s="31"/>
      <c r="G162" s="31"/>
      <c r="H162" s="31"/>
      <c r="I162" s="31"/>
    </row>
    <row r="163" ht="13" spans="1:13">
      <c r="A163" s="51" t="s">
        <v>106</v>
      </c>
      <c r="B163" s="54">
        <v>30</v>
      </c>
      <c r="C163" s="55"/>
      <c r="D163" s="31"/>
      <c r="E163" s="31"/>
      <c r="F163" s="31"/>
      <c r="G163" s="31"/>
      <c r="H163" s="31"/>
      <c r="I163" s="31"/>
    </row>
    <row r="164" ht="13" spans="1:13">
      <c r="A164" s="56" t="s">
        <v>107</v>
      </c>
      <c r="B164" s="52">
        <f>SQRT(B162*B162*(1+(B163/100)))</f>
        <v>22.8035085019828</v>
      </c>
      <c r="C164" s="53"/>
      <c r="D164" s="31"/>
      <c r="E164" s="31"/>
      <c r="F164" s="31"/>
      <c r="G164" s="31"/>
      <c r="H164" s="31"/>
      <c r="I164" s="31"/>
    </row>
    <row r="165" ht="6.75" customHeight="1" spans="1:13">
      <c r="B165" s="27"/>
      <c r="C165" s="27"/>
      <c r="D165" s="31"/>
      <c r="E165" s="31"/>
      <c r="F165" s="31"/>
      <c r="G165" s="31"/>
      <c r="H165" s="31"/>
      <c r="I165" s="31"/>
      <c r="M165" s="27"/>
    </row>
    <row r="166" ht="15.5" spans="1:13">
      <c r="A166" s="8" t="s">
        <v>108</v>
      </c>
      <c r="B166" s="49"/>
      <c r="C166" s="50"/>
      <c r="D166" s="31"/>
      <c r="E166" s="31"/>
      <c r="F166" s="31"/>
      <c r="G166" s="31"/>
      <c r="H166" s="31"/>
      <c r="I166" s="31"/>
      <c r="M166" s="27"/>
    </row>
    <row r="167" ht="13" spans="1:13">
      <c r="A167" s="51" t="s">
        <v>105</v>
      </c>
      <c r="B167" s="52">
        <f ca="1">K13</f>
        <v>7.80227361853827</v>
      </c>
      <c r="C167" s="53"/>
      <c r="D167" s="31"/>
      <c r="E167" s="31"/>
      <c r="F167" s="31"/>
      <c r="G167" s="31"/>
      <c r="H167" s="31"/>
      <c r="I167" s="31"/>
    </row>
    <row r="168" ht="13" spans="1:13">
      <c r="A168" s="51" t="s">
        <v>109</v>
      </c>
      <c r="B168" s="54">
        <v>2</v>
      </c>
      <c r="C168" s="55"/>
      <c r="D168" s="31"/>
      <c r="E168" s="31"/>
      <c r="F168" s="31"/>
      <c r="G168" s="31"/>
      <c r="H168" s="31"/>
      <c r="I168" s="31"/>
    </row>
    <row r="169" ht="13" spans="1:13">
      <c r="A169" s="56" t="s">
        <v>107</v>
      </c>
      <c r="B169" s="52">
        <f ca="1">SQRT(B167*B167/B168)</f>
        <v>5.51704058434131</v>
      </c>
      <c r="C169" s="53"/>
      <c r="D169" s="31"/>
      <c r="E169" s="31"/>
      <c r="F169" s="31"/>
      <c r="G169" s="31"/>
      <c r="H169" s="31"/>
      <c r="I169" s="31"/>
    </row>
    <row r="170" ht="6.75" customHeight="1" spans="1:13">
      <c r="D170" s="31"/>
      <c r="E170" s="31"/>
      <c r="F170" s="31"/>
      <c r="G170" s="31"/>
      <c r="H170" s="31"/>
      <c r="I170" s="31"/>
    </row>
    <row r="171" ht="15.5" spans="1:13">
      <c r="A171" s="57" t="s">
        <v>110</v>
      </c>
      <c r="B171" s="58"/>
      <c r="C171" s="50"/>
      <c r="D171" s="31"/>
      <c r="E171" s="31"/>
      <c r="F171" s="31"/>
      <c r="G171" s="31"/>
      <c r="H171" s="31"/>
      <c r="I171" s="31"/>
    </row>
    <row r="172" ht="13" spans="1:13">
      <c r="A172" s="59" t="s">
        <v>111</v>
      </c>
      <c r="B172" s="60">
        <v>4.8</v>
      </c>
      <c r="C172" s="53"/>
      <c r="D172" s="31"/>
      <c r="E172" s="31"/>
      <c r="F172" s="31"/>
      <c r="G172" s="31"/>
      <c r="H172" s="31"/>
      <c r="I172" s="31"/>
    </row>
    <row r="173" ht="13" spans="1:13">
      <c r="A173" s="59" t="s">
        <v>112</v>
      </c>
      <c r="B173" s="60">
        <v>4.8</v>
      </c>
      <c r="C173" s="53"/>
      <c r="D173" s="31"/>
      <c r="E173" s="31"/>
      <c r="F173" s="31"/>
      <c r="G173" s="31"/>
      <c r="H173" s="31"/>
      <c r="I173" s="31"/>
    </row>
    <row r="174" ht="13.75" spans="1:13">
      <c r="A174" s="61" t="s">
        <v>107</v>
      </c>
      <c r="B174" s="62">
        <f>SQRT(B172*B172+B173*B173)</f>
        <v>6.78822509939086</v>
      </c>
      <c r="C174" s="53"/>
      <c r="D174" s="31"/>
      <c r="E174" s="31"/>
      <c r="F174" s="31"/>
      <c r="G174" s="31"/>
      <c r="H174" s="31"/>
      <c r="I174" s="31"/>
    </row>
    <row r="175" spans="1:13">
      <c r="D175" s="31"/>
      <c r="E175" s="31"/>
      <c r="F175" s="31"/>
      <c r="G175" s="31"/>
      <c r="H175" s="31"/>
      <c r="I175" s="31"/>
    </row>
    <row r="176" spans="1:13">
      <c r="D176" s="31"/>
      <c r="E176" s="31"/>
      <c r="F176" s="31"/>
      <c r="G176" s="31"/>
      <c r="H176" s="31"/>
      <c r="I176" s="31"/>
    </row>
    <row r="177" ht="13" spans="1:9">
      <c r="A177" s="63" t="s">
        <v>113</v>
      </c>
      <c r="B177" s="64"/>
      <c r="D177" s="31"/>
      <c r="E177" s="31"/>
      <c r="F177" s="31"/>
      <c r="G177" s="31"/>
      <c r="H177" s="31"/>
      <c r="I177" s="31"/>
    </row>
    <row r="178" spans="1:9">
      <c r="D178" s="31"/>
      <c r="E178" s="31"/>
      <c r="F178" s="31"/>
      <c r="G178" s="31"/>
      <c r="H178" s="31"/>
      <c r="I178" s="31"/>
    </row>
    <row r="179" spans="1:9">
      <c r="D179" s="31"/>
      <c r="E179" s="31"/>
      <c r="F179" s="31"/>
      <c r="G179" s="31"/>
      <c r="H179" s="31"/>
      <c r="I179" s="31"/>
    </row>
    <row r="180" spans="1:9">
      <c r="D180" s="31"/>
      <c r="E180" s="31"/>
      <c r="F180" s="31"/>
      <c r="G180" s="31"/>
      <c r="H180" s="31"/>
      <c r="I180" s="31"/>
    </row>
    <row r="181" spans="1:9">
      <c r="D181" s="31"/>
      <c r="E181" s="31"/>
      <c r="F181" s="31"/>
      <c r="G181" s="31"/>
      <c r="H181" s="31"/>
      <c r="I181" s="31"/>
    </row>
    <row r="182" spans="1:9">
      <c r="D182" s="31"/>
      <c r="E182" s="31"/>
      <c r="F182" s="31"/>
      <c r="G182" s="31"/>
      <c r="H182" s="31"/>
      <c r="I182" s="31"/>
    </row>
    <row r="183" spans="1:9">
      <c r="D183" s="31"/>
      <c r="E183" s="31"/>
      <c r="F183" s="31"/>
      <c r="G183" s="31"/>
      <c r="H183" s="31"/>
      <c r="I183" s="31"/>
    </row>
    <row r="188" spans="1:9">
      <c r="D188" s="65"/>
      <c r="E188" s="65"/>
      <c r="H188" s="2"/>
      <c r="I188" s="2"/>
    </row>
    <row r="192" ht="15.5" spans="1:9">
      <c r="A192" s="66" t="s">
        <v>114</v>
      </c>
      <c r="H192" s="2"/>
      <c r="I192" s="2"/>
    </row>
    <row r="193" ht="15.5" spans="1:1">
      <c r="A193" s="66" t="s">
        <v>115</v>
      </c>
    </row>
    <row r="194" ht="15.5" spans="1:1">
      <c r="A194" s="66" t="s">
        <v>116</v>
      </c>
    </row>
    <row r="195" ht="15.5" spans="1:1">
      <c r="A195" s="66" t="s">
        <v>117</v>
      </c>
    </row>
  </sheetData>
  <mergeCells count="3">
    <mergeCell ref="C1:H1"/>
    <mergeCell ref="J17:J22"/>
    <mergeCell ref="J147:J155"/>
  </mergeCells>
  <conditionalFormatting sqref="C3:C159">
    <cfRule type="cellIs" priority="1" operator="equal">
      <formula>"Ultra Thin Wall"</formula>
    </cfRule>
    <cfRule type="cellIs" dxfId="0" priority="2" operator="equal">
      <formula>"Thin Wall"</formula>
    </cfRule>
    <cfRule type="cellIs" dxfId="1" priority="3" operator="equal">
      <formula>"Thick Wall"</formula>
    </cfRule>
  </conditionalFormatting>
  <dataValidations count="3">
    <dataValidation type="list" allowBlank="1" showInputMessage="1" showErrorMessage="1" sqref="K11">
      <formula1>"Yes,No"</formula1>
    </dataValidation>
    <dataValidation type="list" allowBlank="1" showInputMessage="1" showErrorMessage="1" sqref="C3:C133 C157:C159">
      <formula1>"Thick Wall,Thin Wall,Ultra Thin Wall"</formula1>
    </dataValidation>
    <dataValidation type="list" allowBlank="1" showInputMessage="1" showErrorMessage="1" sqref="C134:C156">
      <formula1>"Drain,Cable"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线径计算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Xu1 许波</dc:creator>
  <cp:lastModifiedBy>皮水无言-许波</cp:lastModifiedBy>
  <dcterms:created xsi:type="dcterms:W3CDTF">2015-06-05T18:17:00Z</dcterms:created>
  <dcterms:modified xsi:type="dcterms:W3CDTF">2026-01-01T08:45:25Z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A08ADCA263984FC9B7956E0AB26271AF_12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